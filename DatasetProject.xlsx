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Sultan\Documents\GitHub\Excel-Datasets-Analysis\"/>
    </mc:Choice>
  </mc:AlternateContent>
  <xr:revisionPtr revIDLastSave="0" documentId="13_ncr:1_{FBF5AC65-45AD-49D6-9B4B-9D3AC5B7BEC4}" xr6:coauthVersionLast="47" xr6:coauthVersionMax="47" xr10:uidLastSave="{00000000-0000-0000-0000-000000000000}"/>
  <bookViews>
    <workbookView xWindow="-108" yWindow="-108" windowWidth="23256" windowHeight="12456" activeTab="1" xr2:uid="{2EA11005-F366-42C0-9F59-D42018D24277}"/>
  </bookViews>
  <sheets>
    <sheet name="Pivots" sheetId="4" r:id="rId1"/>
    <sheet name="Sheet1" sheetId="5" r:id="rId2"/>
    <sheet name="Dataset " sheetId="3" r:id="rId3"/>
  </sheets>
  <definedNames>
    <definedName name="ExternalData_1" localSheetId="2" hidden="1">'Dataset '!$A$1:$H$51</definedName>
    <definedName name="Slicer_Topic">#N/A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5" l="1"/>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AA9EED-5F03-4CAF-A03E-1DBFE519908B}"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s>
</file>

<file path=xl/sharedStrings.xml><?xml version="1.0" encoding="utf-8"?>
<sst xmlns="http://schemas.openxmlformats.org/spreadsheetml/2006/main" count="232" uniqueCount="44">
  <si>
    <t>Post ID</t>
  </si>
  <si>
    <t>Platform</t>
  </si>
  <si>
    <t>Post Type</t>
  </si>
  <si>
    <t>Topic</t>
  </si>
  <si>
    <t>Likes</t>
  </si>
  <si>
    <t>Comments</t>
  </si>
  <si>
    <t>Shares</t>
  </si>
  <si>
    <t>Date</t>
  </si>
  <si>
    <t>YouTube</t>
  </si>
  <si>
    <t>Video</t>
  </si>
  <si>
    <t>Tech</t>
  </si>
  <si>
    <t>Gaming</t>
  </si>
  <si>
    <t>Food</t>
  </si>
  <si>
    <t>Fashion</t>
  </si>
  <si>
    <t>Motivational</t>
  </si>
  <si>
    <t>Entertainment</t>
  </si>
  <si>
    <t>Storytelling</t>
  </si>
  <si>
    <t>Engagement Score</t>
  </si>
  <si>
    <t>Month Column</t>
  </si>
  <si>
    <t>Week Num</t>
  </si>
  <si>
    <t>Row Labels</t>
  </si>
  <si>
    <t>Grand Total</t>
  </si>
  <si>
    <t>Sum of Likes</t>
  </si>
  <si>
    <t>Sum of Comments</t>
  </si>
  <si>
    <t>Sum of Shares</t>
  </si>
  <si>
    <r>
      <t>:</t>
    </r>
    <r>
      <rPr>
        <sz val="11"/>
        <color theme="1"/>
        <rFont val="Calibri"/>
        <family val="2"/>
        <scheme val="minor"/>
      </rPr>
      <t xml:space="preserve"> Topic-wise total likes/comments/shares</t>
    </r>
  </si>
  <si>
    <r>
      <t>Pivot 2:</t>
    </r>
    <r>
      <rPr>
        <sz val="14"/>
        <color theme="1"/>
        <rFont val="Calibri"/>
        <family val="2"/>
        <scheme val="minor"/>
      </rPr>
      <t xml:space="preserve"> Topic-wise total engagement score → identify top topics</t>
    </r>
  </si>
  <si>
    <t>Sum of Engagement Score</t>
  </si>
  <si>
    <t>top3 topics</t>
  </si>
  <si>
    <r>
      <t>Pivot 3:</t>
    </r>
    <r>
      <rPr>
        <sz val="11"/>
        <color theme="1"/>
        <rFont val="Calibri"/>
        <family val="2"/>
        <scheme val="minor"/>
      </rPr>
      <t xml:space="preserve"> Date-wise trend (line chart) → engagement over time</t>
    </r>
  </si>
  <si>
    <t>Highlight top 3 topics by engagement</t>
  </si>
  <si>
    <t>Color-code likes/comments/shares in pivot table</t>
  </si>
  <si>
    <t>Count of Topic</t>
  </si>
  <si>
    <t>Sep</t>
  </si>
  <si>
    <t>Oct</t>
  </si>
  <si>
    <t>weekday</t>
  </si>
  <si>
    <t>Monday</t>
  </si>
  <si>
    <t>Tuesday</t>
  </si>
  <si>
    <t>Wednesday</t>
  </si>
  <si>
    <t>Thursday</t>
  </si>
  <si>
    <t>Friday</t>
  </si>
  <si>
    <t>Saturday</t>
  </si>
  <si>
    <t>Sunday</t>
  </si>
  <si>
    <t>Find the “Content Peak Days” Using Week Number(october)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</si>
</sst>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4"/>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33" borderId="0" xfId="0" applyFont="1" applyFill="1"/>
    <xf numFmtId="0" fontId="0" fillId="33" borderId="0" xfId="0" applyFill="1"/>
    <xf numFmtId="0" fontId="16" fillId="0" borderId="0" xfId="0" applyFont="1" applyAlignment="1">
      <alignment horizontal="left" vertical="center" indent="1"/>
    </xf>
    <xf numFmtId="0" fontId="18" fillId="33" borderId="0" xfId="0" applyFont="1" applyFill="1" applyAlignment="1">
      <alignment horizontal="left" vertical="center" indent="1"/>
    </xf>
    <xf numFmtId="0" fontId="19" fillId="33" borderId="0" xfId="0" applyFont="1" applyFill="1"/>
    <xf numFmtId="14" fontId="0" fillId="0" borderId="0" xfId="0" applyNumberFormat="1" applyAlignment="1">
      <alignment horizontal="left"/>
    </xf>
    <xf numFmtId="0" fontId="0" fillId="34" borderId="0" xfId="0" applyFill="1"/>
    <xf numFmtId="0" fontId="0" fillId="0" borderId="0" xfId="0" applyAlignment="1">
      <alignment horizontal="left" vertical="center" indent="1"/>
    </xf>
    <xf numFmtId="0" fontId="0" fillId="35" borderId="0" xfId="0" applyFill="1"/>
    <xf numFmtId="0" fontId="0" fillId="0" borderId="0" xfId="0" applyAlignment="1">
      <alignment horizontal="left" indent="1"/>
    </xf>
    <xf numFmtId="0" fontId="0" fillId="0" borderId="0" xfId="0" applyNumberFormat="1"/>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fill>
        <patternFill>
          <bgColor theme="3" tint="0.79998168889431442"/>
        </patternFill>
      </fill>
    </dxf>
    <dxf>
      <fill>
        <patternFill patternType="solid">
          <bgColor theme="2"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[DatasetProject.xlsx]Pivots!PivotTable5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Pivots!$B$24</c:f>
              <c:strCache>
                <c:ptCount val="1"/>
                <c:pt idx="0">
                  <c:v>Total</c:v>
                </c:pt>
              </c:strCache>
            </c:strRef>
          </c:tx>
          <c:spPr>
            <a:ln w="28575" cap="rnd">
              <a:solidFill>
                <a:schemeClr val="accent1"/>
              </a:solidFill>
              <a:round/>
            </a:ln>
            <a:effectLst/>
          </c:spPr>
          <c:marker>
            <c:symbol val="none"/>
          </c:marker>
          <c:cat>
            <c:strRef>
              <c:f>Pivots!$A$25:$A$75</c:f>
              <c:strCache>
                <c:ptCount val="50"/>
                <c:pt idx="0">
                  <c:v>01-09-2025</c:v>
                </c:pt>
                <c:pt idx="1">
                  <c:v>02-09-2025</c:v>
                </c:pt>
                <c:pt idx="2">
                  <c:v>03-09-2025</c:v>
                </c:pt>
                <c:pt idx="3">
                  <c:v>04-09-2025</c:v>
                </c:pt>
                <c:pt idx="4">
                  <c:v>05-09-2025</c:v>
                </c:pt>
                <c:pt idx="5">
                  <c:v>06-09-2025</c:v>
                </c:pt>
                <c:pt idx="6">
                  <c:v>07-09-2025</c:v>
                </c:pt>
                <c:pt idx="7">
                  <c:v>08-09-2025</c:v>
                </c:pt>
                <c:pt idx="8">
                  <c:v>09-09-2025</c:v>
                </c:pt>
                <c:pt idx="9">
                  <c:v>10-09-2025</c:v>
                </c:pt>
                <c:pt idx="10">
                  <c:v>11-09-2025</c:v>
                </c:pt>
                <c:pt idx="11">
                  <c:v>12-09-2025</c:v>
                </c:pt>
                <c:pt idx="12">
                  <c:v>13-09-2025</c:v>
                </c:pt>
                <c:pt idx="13">
                  <c:v>14-09-2025</c:v>
                </c:pt>
                <c:pt idx="14">
                  <c:v>15-09-2025</c:v>
                </c:pt>
                <c:pt idx="15">
                  <c:v>16-09-2025</c:v>
                </c:pt>
                <c:pt idx="16">
                  <c:v>17-09-2025</c:v>
                </c:pt>
                <c:pt idx="17">
                  <c:v>18-09-2025</c:v>
                </c:pt>
                <c:pt idx="18">
                  <c:v>19-09-2025</c:v>
                </c:pt>
                <c:pt idx="19">
                  <c:v>20-09-2025</c:v>
                </c:pt>
                <c:pt idx="20">
                  <c:v>21-09-2025</c:v>
                </c:pt>
                <c:pt idx="21">
                  <c:v>22-09-2025</c:v>
                </c:pt>
                <c:pt idx="22">
                  <c:v>23-09-2025</c:v>
                </c:pt>
                <c:pt idx="23">
                  <c:v>24-09-2025</c:v>
                </c:pt>
                <c:pt idx="24">
                  <c:v>25-09-2025</c:v>
                </c:pt>
                <c:pt idx="25">
                  <c:v>26-09-2025</c:v>
                </c:pt>
                <c:pt idx="26">
                  <c:v>27-09-2025</c:v>
                </c:pt>
                <c:pt idx="27">
                  <c:v>28-09-2025</c:v>
                </c:pt>
                <c:pt idx="28">
                  <c:v>29-09-2025</c:v>
                </c:pt>
                <c:pt idx="29">
                  <c:v>30-09-2025</c:v>
                </c:pt>
                <c:pt idx="30">
                  <c:v>01-10-2025</c:v>
                </c:pt>
                <c:pt idx="31">
                  <c:v>02-10-2025</c:v>
                </c:pt>
                <c:pt idx="32">
                  <c:v>03-10-2025</c:v>
                </c:pt>
                <c:pt idx="33">
                  <c:v>04-10-2025</c:v>
                </c:pt>
                <c:pt idx="34">
                  <c:v>05-10-2025</c:v>
                </c:pt>
                <c:pt idx="35">
                  <c:v>06-10-2025</c:v>
                </c:pt>
                <c:pt idx="36">
                  <c:v>07-10-2025</c:v>
                </c:pt>
                <c:pt idx="37">
                  <c:v>08-10-2025</c:v>
                </c:pt>
                <c:pt idx="38">
                  <c:v>09-10-2025</c:v>
                </c:pt>
                <c:pt idx="39">
                  <c:v>10-10-2025</c:v>
                </c:pt>
                <c:pt idx="40">
                  <c:v>11-10-2025</c:v>
                </c:pt>
                <c:pt idx="41">
                  <c:v>12-10-2025</c:v>
                </c:pt>
                <c:pt idx="42">
                  <c:v>13-10-2025</c:v>
                </c:pt>
                <c:pt idx="43">
                  <c:v>14-10-2025</c:v>
                </c:pt>
                <c:pt idx="44">
                  <c:v>15-10-2025</c:v>
                </c:pt>
                <c:pt idx="45">
                  <c:v>16-10-2025</c:v>
                </c:pt>
                <c:pt idx="46">
                  <c:v>17-10-2025</c:v>
                </c:pt>
                <c:pt idx="47">
                  <c:v>18-10-2025</c:v>
                </c:pt>
                <c:pt idx="48">
                  <c:v>19-10-2025</c:v>
                </c:pt>
                <c:pt idx="49">
                  <c:v>20-10-2025</c:v>
                </c:pt>
              </c:strCache>
            </c:strRef>
          </c:cat>
          <c:val>
            <c:numRef>
              <c:f>Pivots!$B$25:$B$75</c:f>
              <c:numCache>
                <c:formatCode>General</c:formatCode>
                <c:ptCount val="50"/>
                <c:pt idx="0">
                  <c:v>175</c:v>
                </c:pt>
                <c:pt idx="1">
                  <c:v>240</c:v>
                </c:pt>
                <c:pt idx="2">
                  <c:v>118</c:v>
                </c:pt>
                <c:pt idx="3">
                  <c:v>213</c:v>
                </c:pt>
                <c:pt idx="4">
                  <c:v>272</c:v>
                </c:pt>
                <c:pt idx="5">
                  <c:v>365</c:v>
                </c:pt>
                <c:pt idx="6">
                  <c:v>295</c:v>
                </c:pt>
                <c:pt idx="7">
                  <c:v>198</c:v>
                </c:pt>
                <c:pt idx="8">
                  <c:v>227</c:v>
                </c:pt>
                <c:pt idx="9">
                  <c:v>142</c:v>
                </c:pt>
                <c:pt idx="10">
                  <c:v>187</c:v>
                </c:pt>
                <c:pt idx="11">
                  <c:v>259</c:v>
                </c:pt>
                <c:pt idx="12">
                  <c:v>391</c:v>
                </c:pt>
                <c:pt idx="13">
                  <c:v>322</c:v>
                </c:pt>
                <c:pt idx="14">
                  <c:v>181</c:v>
                </c:pt>
                <c:pt idx="15">
                  <c:v>234</c:v>
                </c:pt>
                <c:pt idx="16">
                  <c:v>152</c:v>
                </c:pt>
                <c:pt idx="17">
                  <c:v>207</c:v>
                </c:pt>
                <c:pt idx="18">
                  <c:v>285</c:v>
                </c:pt>
                <c:pt idx="19">
                  <c:v>378</c:v>
                </c:pt>
                <c:pt idx="20">
                  <c:v>309</c:v>
                </c:pt>
                <c:pt idx="21">
                  <c:v>195</c:v>
                </c:pt>
                <c:pt idx="22">
                  <c:v>221</c:v>
                </c:pt>
                <c:pt idx="23">
                  <c:v>145</c:v>
                </c:pt>
                <c:pt idx="24">
                  <c:v>200</c:v>
                </c:pt>
                <c:pt idx="25">
                  <c:v>299</c:v>
                </c:pt>
                <c:pt idx="26">
                  <c:v>408</c:v>
                </c:pt>
                <c:pt idx="27">
                  <c:v>335</c:v>
                </c:pt>
                <c:pt idx="28">
                  <c:v>188</c:v>
                </c:pt>
                <c:pt idx="29">
                  <c:v>241</c:v>
                </c:pt>
                <c:pt idx="30">
                  <c:v>165</c:v>
                </c:pt>
                <c:pt idx="31">
                  <c:v>214</c:v>
                </c:pt>
                <c:pt idx="32">
                  <c:v>272</c:v>
                </c:pt>
                <c:pt idx="33">
                  <c:v>370</c:v>
                </c:pt>
                <c:pt idx="34">
                  <c:v>297</c:v>
                </c:pt>
                <c:pt idx="35">
                  <c:v>203</c:v>
                </c:pt>
                <c:pt idx="36">
                  <c:v>228</c:v>
                </c:pt>
                <c:pt idx="37">
                  <c:v>153</c:v>
                </c:pt>
                <c:pt idx="38">
                  <c:v>194</c:v>
                </c:pt>
                <c:pt idx="39">
                  <c:v>286</c:v>
                </c:pt>
                <c:pt idx="40">
                  <c:v>376</c:v>
                </c:pt>
                <c:pt idx="41">
                  <c:v>321</c:v>
                </c:pt>
                <c:pt idx="42">
                  <c:v>183</c:v>
                </c:pt>
                <c:pt idx="43">
                  <c:v>237</c:v>
                </c:pt>
                <c:pt idx="44">
                  <c:v>141</c:v>
                </c:pt>
                <c:pt idx="45">
                  <c:v>208</c:v>
                </c:pt>
                <c:pt idx="46">
                  <c:v>298</c:v>
                </c:pt>
                <c:pt idx="47">
                  <c:v>394</c:v>
                </c:pt>
                <c:pt idx="48">
                  <c:v>334</c:v>
                </c:pt>
                <c:pt idx="49">
                  <c:v>196</c:v>
                </c:pt>
              </c:numCache>
            </c:numRef>
          </c:val>
          <c:smooth val="0"/>
          <c:extLst>
            <c:ext xmlns:c16="http://schemas.microsoft.com/office/drawing/2014/chart" uri="{C3380CC4-5D6E-409C-BE32-E72D297353CC}">
              <c16:uniqueId val="{00000000-5C23-4553-BF66-7C224FD9CCE4}"/>
            </c:ext>
          </c:extLst>
        </c:ser>
        <c:dLbls>
          <c:showLegendKey val="0"/>
          <c:showVal val="0"/>
          <c:showCatName val="0"/>
          <c:showSerName val="0"/>
          <c:showPercent val="0"/>
          <c:showBubbleSize val="0"/>
        </c:dLbls>
        <c:smooth val="0"/>
        <c:axId val="1864985791"/>
        <c:axId val="1864982911"/>
      </c:lineChart>
      <c:catAx>
        <c:axId val="186498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982911"/>
        <c:crosses val="autoZero"/>
        <c:auto val="1"/>
        <c:lblAlgn val="ctr"/>
        <c:lblOffset val="100"/>
        <c:noMultiLvlLbl val="0"/>
      </c:catAx>
      <c:valAx>
        <c:axId val="186498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98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[DatasetProject.xlsx]Pivots!PivotTable3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Pivots!$B$100</c:f>
              <c:strCache>
                <c:ptCount val="1"/>
                <c:pt idx="0">
                  <c:v>Count of Topic</c:v>
                </c:pt>
              </c:strCache>
            </c:strRef>
          </c:tx>
          <c:spPr>
            <a:solidFill>
              <a:schemeClr val="accent1"/>
            </a:solidFill>
            <a:ln>
              <a:noFill/>
            </a:ln>
            <a:effectLst/>
          </c:spPr>
          <c:invertIfNegative val="0"/>
          <c:cat>
            <c:multiLvlStrRef>
              <c:f>Pivots!$A$101:$A$117</c:f>
              <c:multiLvlStrCache>
                <c:ptCount val="14"/>
                <c:lvl>
                  <c:pt idx="0">
                    <c:v>Sunday</c:v>
                  </c:pt>
                  <c:pt idx="1">
                    <c:v>Monday</c:v>
                  </c:pt>
                  <c:pt idx="2">
                    <c:v>Tuesday</c:v>
                  </c:pt>
                  <c:pt idx="3">
                    <c:v>Wednesday</c:v>
                  </c:pt>
                  <c:pt idx="4">
                    <c:v>Thursday</c:v>
                  </c:pt>
                  <c:pt idx="5">
                    <c:v>Friday</c:v>
                  </c:pt>
                  <c:pt idx="6">
                    <c:v>Saturday</c:v>
                  </c:pt>
                  <c:pt idx="7">
                    <c:v>Sunday</c:v>
                  </c:pt>
                  <c:pt idx="8">
                    <c:v>Monday</c:v>
                  </c:pt>
                  <c:pt idx="9">
                    <c:v>Tuesday</c:v>
                  </c:pt>
                  <c:pt idx="10">
                    <c:v>Wednesday</c:v>
                  </c:pt>
                  <c:pt idx="11">
                    <c:v>Thursday</c:v>
                  </c:pt>
                  <c:pt idx="12">
                    <c:v>Friday</c:v>
                  </c:pt>
                  <c:pt idx="13">
                    <c:v>Saturday</c:v>
                  </c:pt>
                </c:lvl>
                <c:lvl>
                  <c:pt idx="0">
                    <c:v>Sep</c:v>
                  </c:pt>
                  <c:pt idx="7">
                    <c:v>Oct</c:v>
                  </c:pt>
                </c:lvl>
              </c:multiLvlStrCache>
            </c:multiLvlStrRef>
          </c:cat>
          <c:val>
            <c:numRef>
              <c:f>Pivots!$B$101:$B$117</c:f>
              <c:numCache>
                <c:formatCode>General</c:formatCode>
                <c:ptCount val="14"/>
                <c:pt idx="0">
                  <c:v>4</c:v>
                </c:pt>
                <c:pt idx="1">
                  <c:v>5</c:v>
                </c:pt>
                <c:pt idx="2">
                  <c:v>5</c:v>
                </c:pt>
                <c:pt idx="3">
                  <c:v>4</c:v>
                </c:pt>
                <c:pt idx="4">
                  <c:v>4</c:v>
                </c:pt>
                <c:pt idx="5">
                  <c:v>4</c:v>
                </c:pt>
                <c:pt idx="6">
                  <c:v>4</c:v>
                </c:pt>
                <c:pt idx="7">
                  <c:v>3</c:v>
                </c:pt>
                <c:pt idx="8">
                  <c:v>3</c:v>
                </c:pt>
                <c:pt idx="9">
                  <c:v>2</c:v>
                </c:pt>
                <c:pt idx="10">
                  <c:v>3</c:v>
                </c:pt>
                <c:pt idx="11">
                  <c:v>3</c:v>
                </c:pt>
                <c:pt idx="12">
                  <c:v>3</c:v>
                </c:pt>
                <c:pt idx="13">
                  <c:v>3</c:v>
                </c:pt>
              </c:numCache>
            </c:numRef>
          </c:val>
          <c:extLst>
            <c:ext xmlns:c16="http://schemas.microsoft.com/office/drawing/2014/chart" uri="{C3380CC4-5D6E-409C-BE32-E72D297353CC}">
              <c16:uniqueId val="{00000000-B400-46EB-A1B3-CF7CB3033A67}"/>
            </c:ext>
          </c:extLst>
        </c:ser>
        <c:ser>
          <c:idx val="1"/>
          <c:order val="1"/>
          <c:tx>
            <c:strRef>
              <c:f>Pivots!$C$100</c:f>
              <c:strCache>
                <c:ptCount val="1"/>
                <c:pt idx="0">
                  <c:v>Sum of Engagement Score</c:v>
                </c:pt>
              </c:strCache>
            </c:strRef>
          </c:tx>
          <c:spPr>
            <a:solidFill>
              <a:schemeClr val="accent2"/>
            </a:solidFill>
            <a:ln>
              <a:noFill/>
            </a:ln>
            <a:effectLst/>
          </c:spPr>
          <c:invertIfNegative val="0"/>
          <c:cat>
            <c:multiLvlStrRef>
              <c:f>Pivots!$A$101:$A$117</c:f>
              <c:multiLvlStrCache>
                <c:ptCount val="14"/>
                <c:lvl>
                  <c:pt idx="0">
                    <c:v>Sunday</c:v>
                  </c:pt>
                  <c:pt idx="1">
                    <c:v>Monday</c:v>
                  </c:pt>
                  <c:pt idx="2">
                    <c:v>Tuesday</c:v>
                  </c:pt>
                  <c:pt idx="3">
                    <c:v>Wednesday</c:v>
                  </c:pt>
                  <c:pt idx="4">
                    <c:v>Thursday</c:v>
                  </c:pt>
                  <c:pt idx="5">
                    <c:v>Friday</c:v>
                  </c:pt>
                  <c:pt idx="6">
                    <c:v>Saturday</c:v>
                  </c:pt>
                  <c:pt idx="7">
                    <c:v>Sunday</c:v>
                  </c:pt>
                  <c:pt idx="8">
                    <c:v>Monday</c:v>
                  </c:pt>
                  <c:pt idx="9">
                    <c:v>Tuesday</c:v>
                  </c:pt>
                  <c:pt idx="10">
                    <c:v>Wednesday</c:v>
                  </c:pt>
                  <c:pt idx="11">
                    <c:v>Thursday</c:v>
                  </c:pt>
                  <c:pt idx="12">
                    <c:v>Friday</c:v>
                  </c:pt>
                  <c:pt idx="13">
                    <c:v>Saturday</c:v>
                  </c:pt>
                </c:lvl>
                <c:lvl>
                  <c:pt idx="0">
                    <c:v>Sep</c:v>
                  </c:pt>
                  <c:pt idx="7">
                    <c:v>Oct</c:v>
                  </c:pt>
                </c:lvl>
              </c:multiLvlStrCache>
            </c:multiLvlStrRef>
          </c:cat>
          <c:val>
            <c:numRef>
              <c:f>Pivots!$C$101:$C$117</c:f>
              <c:numCache>
                <c:formatCode>General</c:formatCode>
                <c:ptCount val="14"/>
                <c:pt idx="0">
                  <c:v>1261</c:v>
                </c:pt>
                <c:pt idx="1">
                  <c:v>937</c:v>
                </c:pt>
                <c:pt idx="2">
                  <c:v>1163</c:v>
                </c:pt>
                <c:pt idx="3">
                  <c:v>557</c:v>
                </c:pt>
                <c:pt idx="4">
                  <c:v>807</c:v>
                </c:pt>
                <c:pt idx="5">
                  <c:v>1115</c:v>
                </c:pt>
                <c:pt idx="6">
                  <c:v>1542</c:v>
                </c:pt>
                <c:pt idx="7">
                  <c:v>952</c:v>
                </c:pt>
                <c:pt idx="8">
                  <c:v>582</c:v>
                </c:pt>
                <c:pt idx="9">
                  <c:v>465</c:v>
                </c:pt>
                <c:pt idx="10">
                  <c:v>459</c:v>
                </c:pt>
                <c:pt idx="11">
                  <c:v>616</c:v>
                </c:pt>
                <c:pt idx="12">
                  <c:v>856</c:v>
                </c:pt>
                <c:pt idx="13">
                  <c:v>1140</c:v>
                </c:pt>
              </c:numCache>
            </c:numRef>
          </c:val>
          <c:extLst>
            <c:ext xmlns:c16="http://schemas.microsoft.com/office/drawing/2014/chart" uri="{C3380CC4-5D6E-409C-BE32-E72D297353CC}">
              <c16:uniqueId val="{00000001-B400-46EB-A1B3-CF7CB3033A67}"/>
            </c:ext>
          </c:extLst>
        </c:ser>
        <c:dLbls>
          <c:showLegendKey val="0"/>
          <c:showVal val="0"/>
          <c:showCatName val="0"/>
          <c:showSerName val="0"/>
          <c:showPercent val="0"/>
          <c:showBubbleSize val="0"/>
        </c:dLbls>
        <c:gapWidth val="150"/>
        <c:overlap val="100"/>
        <c:axId val="653502960"/>
        <c:axId val="653522160"/>
      </c:barChart>
      <c:catAx>
        <c:axId val="65350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522160"/>
        <c:crosses val="autoZero"/>
        <c:auto val="1"/>
        <c:lblAlgn val="ctr"/>
        <c:lblOffset val="100"/>
        <c:noMultiLvlLbl val="0"/>
      </c:catAx>
      <c:valAx>
        <c:axId val="65352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50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[DatasetProject.xlsx]Pivots!TopicwiseTotal</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Sum of Likes</c:v>
                </c:pt>
              </c:strCache>
            </c:strRef>
          </c:tx>
          <c:spPr>
            <a:solidFill>
              <a:schemeClr val="accent1"/>
            </a:solidFill>
            <a:ln>
              <a:noFill/>
            </a:ln>
            <a:effectLst/>
          </c:spPr>
          <c:invertIfNegative val="0"/>
          <c:cat>
            <c:strRef>
              <c:f>Pivots!$A$4:$A$11</c:f>
              <c:strCache>
                <c:ptCount val="7"/>
                <c:pt idx="0">
                  <c:v>Entertainment</c:v>
                </c:pt>
                <c:pt idx="1">
                  <c:v>Fashion</c:v>
                </c:pt>
                <c:pt idx="2">
                  <c:v>Food</c:v>
                </c:pt>
                <c:pt idx="3">
                  <c:v>Gaming</c:v>
                </c:pt>
                <c:pt idx="4">
                  <c:v>Motivational</c:v>
                </c:pt>
                <c:pt idx="5">
                  <c:v>Storytelling</c:v>
                </c:pt>
                <c:pt idx="6">
                  <c:v>Tech</c:v>
                </c:pt>
              </c:strCache>
            </c:strRef>
          </c:cat>
          <c:val>
            <c:numRef>
              <c:f>Pivots!$B$4:$B$11</c:f>
              <c:numCache>
                <c:formatCode>General</c:formatCode>
                <c:ptCount val="7"/>
                <c:pt idx="0">
                  <c:v>2190</c:v>
                </c:pt>
                <c:pt idx="1">
                  <c:v>1205</c:v>
                </c:pt>
                <c:pt idx="2">
                  <c:v>865</c:v>
                </c:pt>
                <c:pt idx="3">
                  <c:v>1355</c:v>
                </c:pt>
                <c:pt idx="4">
                  <c:v>1590</c:v>
                </c:pt>
                <c:pt idx="5">
                  <c:v>1860</c:v>
                </c:pt>
                <c:pt idx="6">
                  <c:v>1290</c:v>
                </c:pt>
              </c:numCache>
            </c:numRef>
          </c:val>
          <c:extLst>
            <c:ext xmlns:c16="http://schemas.microsoft.com/office/drawing/2014/chart" uri="{C3380CC4-5D6E-409C-BE32-E72D297353CC}">
              <c16:uniqueId val="{00000000-DC76-4073-BF7C-97A9F6B1A839}"/>
            </c:ext>
          </c:extLst>
        </c:ser>
        <c:ser>
          <c:idx val="1"/>
          <c:order val="1"/>
          <c:tx>
            <c:strRef>
              <c:f>Pivots!$C$3</c:f>
              <c:strCache>
                <c:ptCount val="1"/>
                <c:pt idx="0">
                  <c:v>Sum of Comments</c:v>
                </c:pt>
              </c:strCache>
            </c:strRef>
          </c:tx>
          <c:spPr>
            <a:solidFill>
              <a:schemeClr val="accent2"/>
            </a:solidFill>
            <a:ln>
              <a:noFill/>
            </a:ln>
            <a:effectLst/>
          </c:spPr>
          <c:invertIfNegative val="0"/>
          <c:cat>
            <c:strRef>
              <c:f>Pivots!$A$4:$A$11</c:f>
              <c:strCache>
                <c:ptCount val="7"/>
                <c:pt idx="0">
                  <c:v>Entertainment</c:v>
                </c:pt>
                <c:pt idx="1">
                  <c:v>Fashion</c:v>
                </c:pt>
                <c:pt idx="2">
                  <c:v>Food</c:v>
                </c:pt>
                <c:pt idx="3">
                  <c:v>Gaming</c:v>
                </c:pt>
                <c:pt idx="4">
                  <c:v>Motivational</c:v>
                </c:pt>
                <c:pt idx="5">
                  <c:v>Storytelling</c:v>
                </c:pt>
                <c:pt idx="6">
                  <c:v>Tech</c:v>
                </c:pt>
              </c:strCache>
            </c:strRef>
          </c:cat>
          <c:val>
            <c:numRef>
              <c:f>Pivots!$C$4:$C$11</c:f>
              <c:numCache>
                <c:formatCode>General</c:formatCode>
                <c:ptCount val="7"/>
                <c:pt idx="0">
                  <c:v>380</c:v>
                </c:pt>
                <c:pt idx="1">
                  <c:v>160</c:v>
                </c:pt>
                <c:pt idx="2">
                  <c:v>120</c:v>
                </c:pt>
                <c:pt idx="3">
                  <c:v>203</c:v>
                </c:pt>
                <c:pt idx="4">
                  <c:v>292</c:v>
                </c:pt>
                <c:pt idx="5">
                  <c:v>272</c:v>
                </c:pt>
                <c:pt idx="6">
                  <c:v>183</c:v>
                </c:pt>
              </c:numCache>
            </c:numRef>
          </c:val>
          <c:extLst>
            <c:ext xmlns:c16="http://schemas.microsoft.com/office/drawing/2014/chart" uri="{C3380CC4-5D6E-409C-BE32-E72D297353CC}">
              <c16:uniqueId val="{00000001-DC76-4073-BF7C-97A9F6B1A839}"/>
            </c:ext>
          </c:extLst>
        </c:ser>
        <c:ser>
          <c:idx val="2"/>
          <c:order val="2"/>
          <c:tx>
            <c:strRef>
              <c:f>Pivots!$D$3</c:f>
              <c:strCache>
                <c:ptCount val="1"/>
                <c:pt idx="0">
                  <c:v>Sum of Shares</c:v>
                </c:pt>
              </c:strCache>
            </c:strRef>
          </c:tx>
          <c:spPr>
            <a:solidFill>
              <a:schemeClr val="accent3"/>
            </a:solidFill>
            <a:ln>
              <a:noFill/>
            </a:ln>
            <a:effectLst/>
          </c:spPr>
          <c:invertIfNegative val="0"/>
          <c:cat>
            <c:strRef>
              <c:f>Pivots!$A$4:$A$11</c:f>
              <c:strCache>
                <c:ptCount val="7"/>
                <c:pt idx="0">
                  <c:v>Entertainment</c:v>
                </c:pt>
                <c:pt idx="1">
                  <c:v>Fashion</c:v>
                </c:pt>
                <c:pt idx="2">
                  <c:v>Food</c:v>
                </c:pt>
                <c:pt idx="3">
                  <c:v>Gaming</c:v>
                </c:pt>
                <c:pt idx="4">
                  <c:v>Motivational</c:v>
                </c:pt>
                <c:pt idx="5">
                  <c:v>Storytelling</c:v>
                </c:pt>
                <c:pt idx="6">
                  <c:v>Tech</c:v>
                </c:pt>
              </c:strCache>
            </c:strRef>
          </c:cat>
          <c:val>
            <c:numRef>
              <c:f>Pivots!$D$4:$D$11</c:f>
              <c:numCache>
                <c:formatCode>General</c:formatCode>
                <c:ptCount val="7"/>
                <c:pt idx="0">
                  <c:v>112</c:v>
                </c:pt>
                <c:pt idx="1">
                  <c:v>58</c:v>
                </c:pt>
                <c:pt idx="2">
                  <c:v>31</c:v>
                </c:pt>
                <c:pt idx="3">
                  <c:v>70</c:v>
                </c:pt>
                <c:pt idx="4">
                  <c:v>89</c:v>
                </c:pt>
                <c:pt idx="5">
                  <c:v>81</c:v>
                </c:pt>
                <c:pt idx="6">
                  <c:v>46</c:v>
                </c:pt>
              </c:numCache>
            </c:numRef>
          </c:val>
          <c:extLst>
            <c:ext xmlns:c16="http://schemas.microsoft.com/office/drawing/2014/chart" uri="{C3380CC4-5D6E-409C-BE32-E72D297353CC}">
              <c16:uniqueId val="{00000002-DC76-4073-BF7C-97A9F6B1A839}"/>
            </c:ext>
          </c:extLst>
        </c:ser>
        <c:dLbls>
          <c:showLegendKey val="0"/>
          <c:showVal val="0"/>
          <c:showCatName val="0"/>
          <c:showSerName val="0"/>
          <c:showPercent val="0"/>
          <c:showBubbleSize val="0"/>
        </c:dLbls>
        <c:gapWidth val="219"/>
        <c:overlap val="-27"/>
        <c:axId val="328129407"/>
        <c:axId val="328165407"/>
      </c:barChart>
      <c:catAx>
        <c:axId val="32812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165407"/>
        <c:crosses val="autoZero"/>
        <c:auto val="1"/>
        <c:lblAlgn val="ctr"/>
        <c:lblOffset val="100"/>
        <c:noMultiLvlLbl val="0"/>
      </c:catAx>
      <c:valAx>
        <c:axId val="32816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12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[DatasetProject.xlsx]Pivots!TopicwiseTotal</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Sum of Likes</c:v>
                </c:pt>
              </c:strCache>
            </c:strRef>
          </c:tx>
          <c:spPr>
            <a:solidFill>
              <a:schemeClr val="accent1"/>
            </a:solidFill>
            <a:ln>
              <a:noFill/>
            </a:ln>
            <a:effectLst/>
          </c:spPr>
          <c:invertIfNegative val="0"/>
          <c:cat>
            <c:strRef>
              <c:f>Pivots!$A$4:$A$11</c:f>
              <c:strCache>
                <c:ptCount val="7"/>
                <c:pt idx="0">
                  <c:v>Entertainment</c:v>
                </c:pt>
                <c:pt idx="1">
                  <c:v>Fashion</c:v>
                </c:pt>
                <c:pt idx="2">
                  <c:v>Food</c:v>
                </c:pt>
                <c:pt idx="3">
                  <c:v>Gaming</c:v>
                </c:pt>
                <c:pt idx="4">
                  <c:v>Motivational</c:v>
                </c:pt>
                <c:pt idx="5">
                  <c:v>Storytelling</c:v>
                </c:pt>
                <c:pt idx="6">
                  <c:v>Tech</c:v>
                </c:pt>
              </c:strCache>
            </c:strRef>
          </c:cat>
          <c:val>
            <c:numRef>
              <c:f>Pivots!$B$4:$B$11</c:f>
              <c:numCache>
                <c:formatCode>General</c:formatCode>
                <c:ptCount val="7"/>
                <c:pt idx="0">
                  <c:v>2190</c:v>
                </c:pt>
                <c:pt idx="1">
                  <c:v>1205</c:v>
                </c:pt>
                <c:pt idx="2">
                  <c:v>865</c:v>
                </c:pt>
                <c:pt idx="3">
                  <c:v>1355</c:v>
                </c:pt>
                <c:pt idx="4">
                  <c:v>1590</c:v>
                </c:pt>
                <c:pt idx="5">
                  <c:v>1860</c:v>
                </c:pt>
                <c:pt idx="6">
                  <c:v>1290</c:v>
                </c:pt>
              </c:numCache>
            </c:numRef>
          </c:val>
          <c:extLst>
            <c:ext xmlns:c16="http://schemas.microsoft.com/office/drawing/2014/chart" uri="{C3380CC4-5D6E-409C-BE32-E72D297353CC}">
              <c16:uniqueId val="{00000000-4DC6-4AA7-9E57-864D7643DE7C}"/>
            </c:ext>
          </c:extLst>
        </c:ser>
        <c:ser>
          <c:idx val="1"/>
          <c:order val="1"/>
          <c:tx>
            <c:strRef>
              <c:f>Pivots!$C$3</c:f>
              <c:strCache>
                <c:ptCount val="1"/>
                <c:pt idx="0">
                  <c:v>Sum of Comments</c:v>
                </c:pt>
              </c:strCache>
            </c:strRef>
          </c:tx>
          <c:spPr>
            <a:solidFill>
              <a:schemeClr val="accent2"/>
            </a:solidFill>
            <a:ln>
              <a:noFill/>
            </a:ln>
            <a:effectLst/>
          </c:spPr>
          <c:invertIfNegative val="0"/>
          <c:cat>
            <c:strRef>
              <c:f>Pivots!$A$4:$A$11</c:f>
              <c:strCache>
                <c:ptCount val="7"/>
                <c:pt idx="0">
                  <c:v>Entertainment</c:v>
                </c:pt>
                <c:pt idx="1">
                  <c:v>Fashion</c:v>
                </c:pt>
                <c:pt idx="2">
                  <c:v>Food</c:v>
                </c:pt>
                <c:pt idx="3">
                  <c:v>Gaming</c:v>
                </c:pt>
                <c:pt idx="4">
                  <c:v>Motivational</c:v>
                </c:pt>
                <c:pt idx="5">
                  <c:v>Storytelling</c:v>
                </c:pt>
                <c:pt idx="6">
                  <c:v>Tech</c:v>
                </c:pt>
              </c:strCache>
            </c:strRef>
          </c:cat>
          <c:val>
            <c:numRef>
              <c:f>Pivots!$C$4:$C$11</c:f>
              <c:numCache>
                <c:formatCode>General</c:formatCode>
                <c:ptCount val="7"/>
                <c:pt idx="0">
                  <c:v>380</c:v>
                </c:pt>
                <c:pt idx="1">
                  <c:v>160</c:v>
                </c:pt>
                <c:pt idx="2">
                  <c:v>120</c:v>
                </c:pt>
                <c:pt idx="3">
                  <c:v>203</c:v>
                </c:pt>
                <c:pt idx="4">
                  <c:v>292</c:v>
                </c:pt>
                <c:pt idx="5">
                  <c:v>272</c:v>
                </c:pt>
                <c:pt idx="6">
                  <c:v>183</c:v>
                </c:pt>
              </c:numCache>
            </c:numRef>
          </c:val>
          <c:extLst>
            <c:ext xmlns:c16="http://schemas.microsoft.com/office/drawing/2014/chart" uri="{C3380CC4-5D6E-409C-BE32-E72D297353CC}">
              <c16:uniqueId val="{00000001-4DC6-4AA7-9E57-864D7643DE7C}"/>
            </c:ext>
          </c:extLst>
        </c:ser>
        <c:ser>
          <c:idx val="2"/>
          <c:order val="2"/>
          <c:tx>
            <c:strRef>
              <c:f>Pivots!$D$3</c:f>
              <c:strCache>
                <c:ptCount val="1"/>
                <c:pt idx="0">
                  <c:v>Sum of Shares</c:v>
                </c:pt>
              </c:strCache>
            </c:strRef>
          </c:tx>
          <c:spPr>
            <a:solidFill>
              <a:schemeClr val="accent3"/>
            </a:solidFill>
            <a:ln>
              <a:noFill/>
            </a:ln>
            <a:effectLst/>
          </c:spPr>
          <c:invertIfNegative val="0"/>
          <c:cat>
            <c:strRef>
              <c:f>Pivots!$A$4:$A$11</c:f>
              <c:strCache>
                <c:ptCount val="7"/>
                <c:pt idx="0">
                  <c:v>Entertainment</c:v>
                </c:pt>
                <c:pt idx="1">
                  <c:v>Fashion</c:v>
                </c:pt>
                <c:pt idx="2">
                  <c:v>Food</c:v>
                </c:pt>
                <c:pt idx="3">
                  <c:v>Gaming</c:v>
                </c:pt>
                <c:pt idx="4">
                  <c:v>Motivational</c:v>
                </c:pt>
                <c:pt idx="5">
                  <c:v>Storytelling</c:v>
                </c:pt>
                <c:pt idx="6">
                  <c:v>Tech</c:v>
                </c:pt>
              </c:strCache>
            </c:strRef>
          </c:cat>
          <c:val>
            <c:numRef>
              <c:f>Pivots!$D$4:$D$11</c:f>
              <c:numCache>
                <c:formatCode>General</c:formatCode>
                <c:ptCount val="7"/>
                <c:pt idx="0">
                  <c:v>112</c:v>
                </c:pt>
                <c:pt idx="1">
                  <c:v>58</c:v>
                </c:pt>
                <c:pt idx="2">
                  <c:v>31</c:v>
                </c:pt>
                <c:pt idx="3">
                  <c:v>70</c:v>
                </c:pt>
                <c:pt idx="4">
                  <c:v>89</c:v>
                </c:pt>
                <c:pt idx="5">
                  <c:v>81</c:v>
                </c:pt>
                <c:pt idx="6">
                  <c:v>46</c:v>
                </c:pt>
              </c:numCache>
            </c:numRef>
          </c:val>
          <c:extLst>
            <c:ext xmlns:c16="http://schemas.microsoft.com/office/drawing/2014/chart" uri="{C3380CC4-5D6E-409C-BE32-E72D297353CC}">
              <c16:uniqueId val="{00000002-4DC6-4AA7-9E57-864D7643DE7C}"/>
            </c:ext>
          </c:extLst>
        </c:ser>
        <c:dLbls>
          <c:showLegendKey val="0"/>
          <c:showVal val="0"/>
          <c:showCatName val="0"/>
          <c:showSerName val="0"/>
          <c:showPercent val="0"/>
          <c:showBubbleSize val="0"/>
        </c:dLbls>
        <c:gapWidth val="219"/>
        <c:overlap val="-27"/>
        <c:axId val="328129407"/>
        <c:axId val="328165407"/>
      </c:barChart>
      <c:catAx>
        <c:axId val="32812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165407"/>
        <c:crosses val="autoZero"/>
        <c:auto val="1"/>
        <c:lblAlgn val="ctr"/>
        <c:lblOffset val="100"/>
        <c:noMultiLvlLbl val="0"/>
      </c:catAx>
      <c:valAx>
        <c:axId val="32816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12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111369</xdr:colOff>
      <xdr:row>25</xdr:row>
      <xdr:rowOff>3314</xdr:rowOff>
    </xdr:from>
    <xdr:to>
      <xdr:col>10</xdr:col>
      <xdr:colOff>679939</xdr:colOff>
      <xdr:row>39</xdr:row>
      <xdr:rowOff>11723</xdr:rowOff>
    </xdr:to>
    <xdr:graphicFrame macro="">
      <xdr:nvGraphicFramePr>
        <xdr:cNvPr id="2" name="Chart 1">
          <a:extLst>
            <a:ext uri="{FF2B5EF4-FFF2-40B4-BE49-F238E27FC236}">
              <a16:creationId xmlns:a16="http://schemas.microsoft.com/office/drawing/2014/main" id="{C10940E6-4B05-EED6-A7DA-A378F8D19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504246</xdr:colOff>
      <xdr:row>0</xdr:row>
      <xdr:rowOff>99722</xdr:rowOff>
    </xdr:from>
    <xdr:to>
      <xdr:col>9</xdr:col>
      <xdr:colOff>981962</xdr:colOff>
      <xdr:row>13</xdr:row>
      <xdr:rowOff>192156</xdr:rowOff>
    </xdr:to>
    <mc:AlternateContent xmlns:mc="http://schemas.openxmlformats.org/markup-compatibility/2006" xmlns:a14="http://schemas.microsoft.com/office/drawing/2010/main">
      <mc:Choice Requires="a14">
        <xdr:graphicFrame macro="">
          <xdr:nvGraphicFramePr>
            <xdr:cNvPr id="3" name="Topic">
              <a:extLst>
                <a:ext uri="{FF2B5EF4-FFF2-40B4-BE49-F238E27FC236}">
                  <a16:creationId xmlns:a16="http://schemas.microsoft.com/office/drawing/2014/main" id="{4587B057-1843-2ACB-F94C-338B4632D9E9}"/>
                </a:ext>
              </a:extLst>
            </xdr:cNvPr>
            <xdr:cNvGraphicFramePr/>
          </xdr:nvGraphicFramePr>
          <xdr:xfrm>
            <a:off x="0" y="0"/>
            <a:ext cx="0" cy="0"/>
          </xdr:xfrm>
          <a:graphic>
            <a:graphicData uri="http://schemas.microsoft.com/office/drawing/2010/slicer">
              <sle:slicer xmlns:sle="http://schemas.microsoft.com/office/drawing/2010/slicer" name="Topic"/>
            </a:graphicData>
          </a:graphic>
        </xdr:graphicFrame>
      </mc:Choice>
      <mc:Fallback xmlns="">
        <xdr:sp macro="" textlink="">
          <xdr:nvSpPr>
            <xdr:cNvPr id="0" name=""/>
            <xdr:cNvSpPr>
              <a:spLocks noTextEdit="1"/>
            </xdr:cNvSpPr>
          </xdr:nvSpPr>
          <xdr:spPr>
            <a:xfrm>
              <a:off x="6719516" y="99722"/>
              <a:ext cx="2311841" cy="25043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496956</xdr:colOff>
      <xdr:row>100</xdr:row>
      <xdr:rowOff>96078</xdr:rowOff>
    </xdr:from>
    <xdr:to>
      <xdr:col>10</xdr:col>
      <xdr:colOff>430696</xdr:colOff>
      <xdr:row>115</xdr:row>
      <xdr:rowOff>56321</xdr:rowOff>
    </xdr:to>
    <xdr:graphicFrame macro="">
      <xdr:nvGraphicFramePr>
        <xdr:cNvPr id="4" name="Chart 3">
          <a:extLst>
            <a:ext uri="{FF2B5EF4-FFF2-40B4-BE49-F238E27FC236}">
              <a16:creationId xmlns:a16="http://schemas.microsoft.com/office/drawing/2014/main" id="{A77639DF-1EC7-2BD8-35DC-1BE5698F9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55683</xdr:colOff>
      <xdr:row>0</xdr:row>
      <xdr:rowOff>105509</xdr:rowOff>
    </xdr:from>
    <xdr:to>
      <xdr:col>12</xdr:col>
      <xdr:colOff>1055075</xdr:colOff>
      <xdr:row>13</xdr:row>
      <xdr:rowOff>70339</xdr:rowOff>
    </xdr:to>
    <xdr:graphicFrame macro="">
      <xdr:nvGraphicFramePr>
        <xdr:cNvPr id="5" name="Chart 4">
          <a:extLst>
            <a:ext uri="{FF2B5EF4-FFF2-40B4-BE49-F238E27FC236}">
              <a16:creationId xmlns:a16="http://schemas.microsoft.com/office/drawing/2014/main" id="{D1BEEF59-6FF8-1D93-8F5A-B1A6F8CE4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266700</xdr:colOff>
      <xdr:row>20</xdr:row>
      <xdr:rowOff>30480</xdr:rowOff>
    </xdr:from>
    <xdr:to>
      <xdr:col>5</xdr:col>
      <xdr:colOff>137160</xdr:colOff>
      <xdr:row>33</xdr:row>
      <xdr:rowOff>98149</xdr:rowOff>
    </xdr:to>
    <mc:AlternateContent xmlns:mc="http://schemas.openxmlformats.org/markup-compatibility/2006">
      <mc:Choice xmlns:a14="http://schemas.microsoft.com/office/drawing/2010/main" Requires="a14">
        <xdr:graphicFrame macro="">
          <xdr:nvGraphicFramePr>
            <xdr:cNvPr id="2" name="Topic 1">
              <a:extLst>
                <a:ext uri="{FF2B5EF4-FFF2-40B4-BE49-F238E27FC236}">
                  <a16:creationId xmlns:a16="http://schemas.microsoft.com/office/drawing/2014/main" id="{1881D6BA-7EF7-4831-A51F-6B690E1E71B5}"/>
                </a:ext>
              </a:extLst>
            </xdr:cNvPr>
            <xdr:cNvGraphicFramePr/>
          </xdr:nvGraphicFramePr>
          <xdr:xfrm>
            <a:off x="0" y="0"/>
            <a:ext cx="0" cy="0"/>
          </xdr:xfrm>
          <a:graphic>
            <a:graphicData uri="http://schemas.microsoft.com/office/drawing/2010/slicer">
              <sle:slicer xmlns:sle="http://schemas.microsoft.com/office/drawing/2010/slicer" name="Topic 1"/>
            </a:graphicData>
          </a:graphic>
        </xdr:graphicFrame>
      </mc:Choice>
      <mc:Fallback>
        <xdr:sp macro="" textlink="">
          <xdr:nvSpPr>
            <xdr:cNvPr id="0" name=""/>
            <xdr:cNvSpPr>
              <a:spLocks noTextEdit="1"/>
            </xdr:cNvSpPr>
          </xdr:nvSpPr>
          <xdr:spPr>
            <a:xfrm>
              <a:off x="1485900" y="3688080"/>
              <a:ext cx="1699260" cy="24451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205740</xdr:colOff>
      <xdr:row>12</xdr:row>
      <xdr:rowOff>114300</xdr:rowOff>
    </xdr:from>
    <xdr:to>
      <xdr:col>19</xdr:col>
      <xdr:colOff>335759</xdr:colOff>
      <xdr:row>25</xdr:row>
      <xdr:rowOff>65622</xdr:rowOff>
    </xdr:to>
    <xdr:graphicFrame macro="">
      <xdr:nvGraphicFramePr>
        <xdr:cNvPr id="3" name="Chart 2">
          <a:extLst>
            <a:ext uri="{FF2B5EF4-FFF2-40B4-BE49-F238E27FC236}">
              <a16:creationId xmlns:a16="http://schemas.microsoft.com/office/drawing/2014/main" id="{B335564E-CDD9-4C84-BE3B-61C7CC1537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312420</xdr:colOff>
      <xdr:row>2</xdr:row>
      <xdr:rowOff>15240</xdr:rowOff>
    </xdr:from>
    <xdr:to>
      <xdr:col>2</xdr:col>
      <xdr:colOff>304800</xdr:colOff>
      <xdr:row>5</xdr:row>
      <xdr:rowOff>7620</xdr:rowOff>
    </xdr:to>
    <xdr:sp macro="" textlink="">
      <xdr:nvSpPr>
        <xdr:cNvPr id="4" name="Rectangle 3">
          <a:extLst>
            <a:ext uri="{FF2B5EF4-FFF2-40B4-BE49-F238E27FC236}">
              <a16:creationId xmlns:a16="http://schemas.microsoft.com/office/drawing/2014/main" id="{D95B6AC6-8940-B79E-0F3C-9A3A6EFA5E40}"/>
            </a:ext>
          </a:extLst>
        </xdr:cNvPr>
        <xdr:cNvSpPr/>
      </xdr:nvSpPr>
      <xdr:spPr>
        <a:xfrm>
          <a:off x="312420" y="381000"/>
          <a:ext cx="1211580" cy="54102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0</xdr:colOff>
      <xdr:row>2</xdr:row>
      <xdr:rowOff>129540</xdr:rowOff>
    </xdr:from>
    <xdr:to>
      <xdr:col>2</xdr:col>
      <xdr:colOff>15240</xdr:colOff>
      <xdr:row>4</xdr:row>
      <xdr:rowOff>68580</xdr:rowOff>
    </xdr:to>
    <xdr:sp macro="" textlink="Pivots!C101">
      <xdr:nvSpPr>
        <xdr:cNvPr id="5" name="TextBox 4">
          <a:extLst>
            <a:ext uri="{FF2B5EF4-FFF2-40B4-BE49-F238E27FC236}">
              <a16:creationId xmlns:a16="http://schemas.microsoft.com/office/drawing/2014/main" id="{59BAD01A-6986-0935-4545-3E60AFD4BEE8}"/>
            </a:ext>
          </a:extLst>
        </xdr:cNvPr>
        <xdr:cNvSpPr txBox="1"/>
      </xdr:nvSpPr>
      <xdr:spPr>
        <a:xfrm>
          <a:off x="609600" y="495300"/>
          <a:ext cx="62484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EFD4BC-3157-49B8-B3F5-B3F5E133C503}" type="TxLink">
            <a:rPr lang="en-US" sz="1100" b="0" i="0" u="none" strike="noStrike">
              <a:solidFill>
                <a:srgbClr val="000000"/>
              </a:solidFill>
              <a:latin typeface="Calibri"/>
              <a:ea typeface="Calibri"/>
              <a:cs typeface="Calibri"/>
            </a:rPr>
            <a:t>7382</a:t>
          </a:fld>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ltan" refreshedDate="45994.73792511574" createdVersion="8" refreshedVersion="8" minRefreshableVersion="3" recordCount="50" xr:uid="{C4502187-3DFB-4BEC-8A0B-5C05D971C5A6}">
  <cacheSource type="worksheet">
    <worksheetSource name="Dataset"/>
  </cacheSource>
  <cacheFields count="14">
    <cacheField name="Post ID" numFmtId="0">
      <sharedItems containsSemiMixedTypes="0" containsString="0" containsNumber="1" containsInteger="1" minValue="1" maxValue="50"/>
    </cacheField>
    <cacheField name="Platform" numFmtId="0">
      <sharedItems/>
    </cacheField>
    <cacheField name="Post Type" numFmtId="0">
      <sharedItems count="1">
        <s v="Video"/>
      </sharedItems>
    </cacheField>
    <cacheField name="Topic" numFmtId="0">
      <sharedItems count="7">
        <s v="Tech"/>
        <s v="Gaming"/>
        <s v="Food"/>
        <s v="Fashion"/>
        <s v="Motivational"/>
        <s v="Entertainment"/>
        <s v="Storytelling"/>
      </sharedItems>
    </cacheField>
    <cacheField name="Likes" numFmtId="0">
      <sharedItems containsSemiMixedTypes="0" containsString="0" containsNumber="1" containsInteger="1" minValue="100" maxValue="330"/>
    </cacheField>
    <cacheField name="Comments" numFmtId="0">
      <sharedItems containsSemiMixedTypes="0" containsString="0" containsNumber="1" containsInteger="1" minValue="15" maxValue="60"/>
    </cacheField>
    <cacheField name="Shares" numFmtId="0">
      <sharedItems containsSemiMixedTypes="0" containsString="0" containsNumber="1" containsInteger="1" minValue="3" maxValue="18"/>
    </cacheField>
    <cacheField name="Date" numFmtId="14">
      <sharedItems containsSemiMixedTypes="0" containsNonDate="0" containsDate="1" containsString="0" minDate="2025-09-01T00:00:00" maxDate="2025-10-21T00:00:00" count="5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sharedItems>
      <fieldGroup par="13"/>
    </cacheField>
    <cacheField name="Engagement Score" numFmtId="0">
      <sharedItems containsSemiMixedTypes="0" containsString="0" containsNumber="1" containsInteger="1" minValue="118" maxValue="408" count="49">
        <n v="175"/>
        <n v="240"/>
        <n v="118"/>
        <n v="213"/>
        <n v="272"/>
        <n v="365"/>
        <n v="295"/>
        <n v="198"/>
        <n v="227"/>
        <n v="142"/>
        <n v="187"/>
        <n v="259"/>
        <n v="391"/>
        <n v="322"/>
        <n v="181"/>
        <n v="234"/>
        <n v="152"/>
        <n v="207"/>
        <n v="285"/>
        <n v="378"/>
        <n v="309"/>
        <n v="195"/>
        <n v="221"/>
        <n v="145"/>
        <n v="200"/>
        <n v="299"/>
        <n v="408"/>
        <n v="335"/>
        <n v="188"/>
        <n v="241"/>
        <n v="165"/>
        <n v="214"/>
        <n v="370"/>
        <n v="297"/>
        <n v="203"/>
        <n v="228"/>
        <n v="153"/>
        <n v="194"/>
        <n v="286"/>
        <n v="376"/>
        <n v="321"/>
        <n v="183"/>
        <n v="237"/>
        <n v="141"/>
        <n v="208"/>
        <n v="298"/>
        <n v="394"/>
        <n v="334"/>
        <n v="196"/>
      </sharedItems>
    </cacheField>
    <cacheField name="Month Column" numFmtId="0">
      <sharedItems/>
    </cacheField>
    <cacheField name="Week Num" numFmtId="0">
      <sharedItems containsSemiMixedTypes="0" containsString="0" containsNumber="1" containsInteger="1" minValue="36" maxValue="43"/>
    </cacheField>
    <cacheField name="weekday" numFmtId="0">
      <sharedItems count="7">
        <s v="Monday"/>
        <s v="Tuesday"/>
        <s v="Wednesday"/>
        <s v="Thursday"/>
        <s v="Friday"/>
        <s v="Saturday"/>
        <s v="Sunday"/>
      </sharedItems>
    </cacheField>
    <cacheField name="Days (Date)" numFmtId="0" databaseField="0">
      <fieldGroup base="7">
        <rangePr groupBy="days" startDate="2025-09-01T00:00:00" endDate="2025-10-21T00:00:00"/>
        <groupItems count="368">
          <s v="&lt;01-09-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10-2025"/>
        </groupItems>
      </fieldGroup>
    </cacheField>
    <cacheField name="Months (Date)" numFmtId="0" databaseField="0">
      <fieldGroup base="7">
        <rangePr groupBy="months" startDate="2025-09-01T00:00:00" endDate="2025-10-21T00:00:00"/>
        <groupItems count="14">
          <s v="&lt;01-09-2025"/>
          <s v="Jan"/>
          <s v="Feb"/>
          <s v="Mar"/>
          <s v="Apr"/>
          <s v="May"/>
          <s v="Jun"/>
          <s v="Jul"/>
          <s v="Aug"/>
          <s v="Sep"/>
          <s v="Oct"/>
          <s v="Nov"/>
          <s v="Dec"/>
          <s v="&gt;21-10-2025"/>
        </groupItems>
      </fieldGroup>
    </cacheField>
  </cacheFields>
  <extLst>
    <ext xmlns:x14="http://schemas.microsoft.com/office/spreadsheetml/2009/9/main" uri="{725AE2AE-9491-48be-B2B4-4EB974FC3084}">
      <x14:pivotCacheDefinition pivotCacheId="886141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s v="YouTube"/>
    <x v="0"/>
    <x v="0"/>
    <n v="150"/>
    <n v="20"/>
    <n v="5"/>
    <x v="0"/>
    <x v="0"/>
    <s v="Sep-2025"/>
    <n v="36"/>
    <x v="0"/>
  </r>
  <r>
    <n v="2"/>
    <s v="YouTube"/>
    <x v="0"/>
    <x v="1"/>
    <n v="200"/>
    <n v="30"/>
    <n v="10"/>
    <x v="1"/>
    <x v="1"/>
    <s v="Sep-2025"/>
    <n v="36"/>
    <x v="1"/>
  </r>
  <r>
    <n v="3"/>
    <s v="YouTube"/>
    <x v="0"/>
    <x v="2"/>
    <n v="100"/>
    <n v="15"/>
    <n v="3"/>
    <x v="2"/>
    <x v="2"/>
    <s v="Sep-2025"/>
    <n v="36"/>
    <x v="2"/>
  </r>
  <r>
    <n v="4"/>
    <s v="YouTube"/>
    <x v="0"/>
    <x v="3"/>
    <n v="180"/>
    <n v="25"/>
    <n v="8"/>
    <x v="3"/>
    <x v="3"/>
    <s v="Sep-2025"/>
    <n v="36"/>
    <x v="3"/>
  </r>
  <r>
    <n v="5"/>
    <s v="YouTube"/>
    <x v="0"/>
    <x v="4"/>
    <n v="220"/>
    <n v="40"/>
    <n v="12"/>
    <x v="4"/>
    <x v="4"/>
    <s v="Sep-2025"/>
    <n v="36"/>
    <x v="4"/>
  </r>
  <r>
    <n v="6"/>
    <s v="YouTube"/>
    <x v="0"/>
    <x v="5"/>
    <n v="300"/>
    <n v="50"/>
    <n v="15"/>
    <x v="5"/>
    <x v="5"/>
    <s v="Sep-2025"/>
    <n v="36"/>
    <x v="5"/>
  </r>
  <r>
    <n v="7"/>
    <s v="YouTube"/>
    <x v="0"/>
    <x v="6"/>
    <n v="250"/>
    <n v="35"/>
    <n v="10"/>
    <x v="6"/>
    <x v="6"/>
    <s v="Sep-2025"/>
    <n v="36"/>
    <x v="6"/>
  </r>
  <r>
    <n v="8"/>
    <s v="YouTube"/>
    <x v="0"/>
    <x v="0"/>
    <n v="170"/>
    <n v="22"/>
    <n v="6"/>
    <x v="7"/>
    <x v="7"/>
    <s v="Sep-2025"/>
    <n v="37"/>
    <x v="0"/>
  </r>
  <r>
    <n v="9"/>
    <s v="YouTube"/>
    <x v="0"/>
    <x v="1"/>
    <n v="190"/>
    <n v="28"/>
    <n v="9"/>
    <x v="8"/>
    <x v="8"/>
    <s v="Sep-2025"/>
    <n v="37"/>
    <x v="1"/>
  </r>
  <r>
    <n v="10"/>
    <s v="YouTube"/>
    <x v="0"/>
    <x v="2"/>
    <n v="120"/>
    <n v="18"/>
    <n v="4"/>
    <x v="9"/>
    <x v="9"/>
    <s v="Sep-2025"/>
    <n v="37"/>
    <x v="2"/>
  </r>
  <r>
    <n v="11"/>
    <s v="YouTube"/>
    <x v="0"/>
    <x v="3"/>
    <n v="160"/>
    <n v="20"/>
    <n v="7"/>
    <x v="10"/>
    <x v="10"/>
    <s v="Sep-2025"/>
    <n v="37"/>
    <x v="3"/>
  </r>
  <r>
    <n v="12"/>
    <s v="YouTube"/>
    <x v="0"/>
    <x v="4"/>
    <n v="210"/>
    <n v="38"/>
    <n v="11"/>
    <x v="11"/>
    <x v="11"/>
    <s v="Sep-2025"/>
    <n v="37"/>
    <x v="4"/>
  </r>
  <r>
    <n v="13"/>
    <s v="YouTube"/>
    <x v="0"/>
    <x v="5"/>
    <n v="320"/>
    <n v="55"/>
    <n v="16"/>
    <x v="12"/>
    <x v="12"/>
    <s v="Sep-2025"/>
    <n v="37"/>
    <x v="5"/>
  </r>
  <r>
    <n v="14"/>
    <s v="YouTube"/>
    <x v="0"/>
    <x v="6"/>
    <n v="270"/>
    <n v="40"/>
    <n v="12"/>
    <x v="13"/>
    <x v="13"/>
    <s v="Sep-2025"/>
    <n v="37"/>
    <x v="6"/>
  </r>
  <r>
    <n v="15"/>
    <s v="YouTube"/>
    <x v="0"/>
    <x v="0"/>
    <n v="155"/>
    <n v="21"/>
    <n v="5"/>
    <x v="14"/>
    <x v="14"/>
    <s v="Sep-2025"/>
    <n v="38"/>
    <x v="0"/>
  </r>
  <r>
    <n v="16"/>
    <s v="YouTube"/>
    <x v="0"/>
    <x v="1"/>
    <n v="195"/>
    <n v="29"/>
    <n v="10"/>
    <x v="15"/>
    <x v="15"/>
    <s v="Sep-2025"/>
    <n v="38"/>
    <x v="1"/>
  </r>
  <r>
    <n v="17"/>
    <s v="YouTube"/>
    <x v="0"/>
    <x v="2"/>
    <n v="130"/>
    <n v="17"/>
    <n v="5"/>
    <x v="16"/>
    <x v="16"/>
    <s v="Sep-2025"/>
    <n v="38"/>
    <x v="2"/>
  </r>
  <r>
    <n v="18"/>
    <s v="YouTube"/>
    <x v="0"/>
    <x v="3"/>
    <n v="175"/>
    <n v="23"/>
    <n v="9"/>
    <x v="17"/>
    <x v="17"/>
    <s v="Sep-2025"/>
    <n v="38"/>
    <x v="3"/>
  </r>
  <r>
    <n v="19"/>
    <s v="YouTube"/>
    <x v="0"/>
    <x v="4"/>
    <n v="230"/>
    <n v="42"/>
    <n v="13"/>
    <x v="18"/>
    <x v="18"/>
    <s v="Sep-2025"/>
    <n v="38"/>
    <x v="4"/>
  </r>
  <r>
    <n v="20"/>
    <s v="YouTube"/>
    <x v="0"/>
    <x v="5"/>
    <n v="310"/>
    <n v="53"/>
    <n v="15"/>
    <x v="19"/>
    <x v="19"/>
    <s v="Sep-2025"/>
    <n v="38"/>
    <x v="5"/>
  </r>
  <r>
    <n v="21"/>
    <s v="YouTube"/>
    <x v="0"/>
    <x v="6"/>
    <n v="260"/>
    <n v="38"/>
    <n v="11"/>
    <x v="20"/>
    <x v="20"/>
    <s v="Sep-2025"/>
    <n v="38"/>
    <x v="6"/>
  </r>
  <r>
    <n v="22"/>
    <s v="YouTube"/>
    <x v="0"/>
    <x v="0"/>
    <n v="165"/>
    <n v="24"/>
    <n v="6"/>
    <x v="21"/>
    <x v="21"/>
    <s v="Sep-2025"/>
    <n v="39"/>
    <x v="0"/>
  </r>
  <r>
    <n v="23"/>
    <s v="YouTube"/>
    <x v="0"/>
    <x v="1"/>
    <n v="185"/>
    <n v="27"/>
    <n v="9"/>
    <x v="22"/>
    <x v="22"/>
    <s v="Sep-2025"/>
    <n v="39"/>
    <x v="1"/>
  </r>
  <r>
    <n v="24"/>
    <s v="YouTube"/>
    <x v="0"/>
    <x v="2"/>
    <n v="125"/>
    <n v="16"/>
    <n v="4"/>
    <x v="23"/>
    <x v="23"/>
    <s v="Sep-2025"/>
    <n v="39"/>
    <x v="2"/>
  </r>
  <r>
    <n v="25"/>
    <s v="YouTube"/>
    <x v="0"/>
    <x v="3"/>
    <n v="170"/>
    <n v="22"/>
    <n v="8"/>
    <x v="24"/>
    <x v="24"/>
    <s v="Sep-2025"/>
    <n v="39"/>
    <x v="3"/>
  </r>
  <r>
    <n v="26"/>
    <s v="YouTube"/>
    <x v="0"/>
    <x v="4"/>
    <n v="240"/>
    <n v="45"/>
    <n v="14"/>
    <x v="25"/>
    <x v="25"/>
    <s v="Sep-2025"/>
    <n v="39"/>
    <x v="4"/>
  </r>
  <r>
    <n v="27"/>
    <s v="YouTube"/>
    <x v="0"/>
    <x v="5"/>
    <n v="330"/>
    <n v="60"/>
    <n v="18"/>
    <x v="26"/>
    <x v="26"/>
    <s v="Sep-2025"/>
    <n v="39"/>
    <x v="5"/>
  </r>
  <r>
    <n v="28"/>
    <s v="YouTube"/>
    <x v="0"/>
    <x v="6"/>
    <n v="280"/>
    <n v="42"/>
    <n v="13"/>
    <x v="27"/>
    <x v="27"/>
    <s v="Sep-2025"/>
    <n v="39"/>
    <x v="6"/>
  </r>
  <r>
    <n v="29"/>
    <s v="YouTube"/>
    <x v="0"/>
    <x v="0"/>
    <n v="160"/>
    <n v="23"/>
    <n v="5"/>
    <x v="28"/>
    <x v="28"/>
    <s v="Sep-2025"/>
    <n v="40"/>
    <x v="0"/>
  </r>
  <r>
    <n v="30"/>
    <s v="YouTube"/>
    <x v="0"/>
    <x v="1"/>
    <n v="200"/>
    <n v="30"/>
    <n v="11"/>
    <x v="29"/>
    <x v="29"/>
    <s v="Sep-2025"/>
    <n v="40"/>
    <x v="1"/>
  </r>
  <r>
    <n v="31"/>
    <s v="YouTube"/>
    <x v="0"/>
    <x v="2"/>
    <n v="140"/>
    <n v="19"/>
    <n v="6"/>
    <x v="30"/>
    <x v="30"/>
    <s v="Oct-2025"/>
    <n v="40"/>
    <x v="2"/>
  </r>
  <r>
    <n v="32"/>
    <s v="YouTube"/>
    <x v="0"/>
    <x v="3"/>
    <n v="180"/>
    <n v="25"/>
    <n v="9"/>
    <x v="31"/>
    <x v="31"/>
    <s v="Oct-2025"/>
    <n v="40"/>
    <x v="3"/>
  </r>
  <r>
    <n v="33"/>
    <s v="YouTube"/>
    <x v="0"/>
    <x v="4"/>
    <n v="220"/>
    <n v="40"/>
    <n v="12"/>
    <x v="32"/>
    <x v="4"/>
    <s v="Oct-2025"/>
    <n v="40"/>
    <x v="4"/>
  </r>
  <r>
    <n v="34"/>
    <s v="YouTube"/>
    <x v="0"/>
    <x v="5"/>
    <n v="300"/>
    <n v="55"/>
    <n v="15"/>
    <x v="33"/>
    <x v="32"/>
    <s v="Oct-2025"/>
    <n v="40"/>
    <x v="5"/>
  </r>
  <r>
    <n v="35"/>
    <s v="YouTube"/>
    <x v="0"/>
    <x v="6"/>
    <n v="250"/>
    <n v="37"/>
    <n v="10"/>
    <x v="34"/>
    <x v="33"/>
    <s v="Oct-2025"/>
    <n v="40"/>
    <x v="6"/>
  </r>
  <r>
    <n v="36"/>
    <s v="YouTube"/>
    <x v="0"/>
    <x v="0"/>
    <n v="170"/>
    <n v="26"/>
    <n v="7"/>
    <x v="35"/>
    <x v="34"/>
    <s v="Oct-2025"/>
    <n v="41"/>
    <x v="0"/>
  </r>
  <r>
    <n v="37"/>
    <s v="YouTube"/>
    <x v="0"/>
    <x v="1"/>
    <n v="190"/>
    <n v="28"/>
    <n v="10"/>
    <x v="36"/>
    <x v="35"/>
    <s v="Oct-2025"/>
    <n v="41"/>
    <x v="1"/>
  </r>
  <r>
    <n v="38"/>
    <s v="YouTube"/>
    <x v="0"/>
    <x v="2"/>
    <n v="130"/>
    <n v="18"/>
    <n v="5"/>
    <x v="37"/>
    <x v="36"/>
    <s v="Oct-2025"/>
    <n v="41"/>
    <x v="2"/>
  </r>
  <r>
    <n v="39"/>
    <s v="YouTube"/>
    <x v="0"/>
    <x v="3"/>
    <n v="165"/>
    <n v="21"/>
    <n v="8"/>
    <x v="38"/>
    <x v="37"/>
    <s v="Oct-2025"/>
    <n v="41"/>
    <x v="3"/>
  </r>
  <r>
    <n v="40"/>
    <s v="YouTube"/>
    <x v="0"/>
    <x v="4"/>
    <n v="230"/>
    <n v="43"/>
    <n v="13"/>
    <x v="39"/>
    <x v="38"/>
    <s v="Oct-2025"/>
    <n v="41"/>
    <x v="4"/>
  </r>
  <r>
    <n v="41"/>
    <s v="YouTube"/>
    <x v="0"/>
    <x v="5"/>
    <n v="310"/>
    <n v="50"/>
    <n v="16"/>
    <x v="40"/>
    <x v="39"/>
    <s v="Oct-2025"/>
    <n v="41"/>
    <x v="5"/>
  </r>
  <r>
    <n v="42"/>
    <s v="YouTube"/>
    <x v="0"/>
    <x v="6"/>
    <n v="270"/>
    <n v="39"/>
    <n v="12"/>
    <x v="41"/>
    <x v="40"/>
    <s v="Oct-2025"/>
    <n v="41"/>
    <x v="6"/>
  </r>
  <r>
    <n v="43"/>
    <s v="YouTube"/>
    <x v="0"/>
    <x v="0"/>
    <n v="155"/>
    <n v="22"/>
    <n v="6"/>
    <x v="42"/>
    <x v="41"/>
    <s v="Oct-2025"/>
    <n v="42"/>
    <x v="0"/>
  </r>
  <r>
    <n v="44"/>
    <s v="YouTube"/>
    <x v="0"/>
    <x v="1"/>
    <n v="195"/>
    <n v="31"/>
    <n v="11"/>
    <x v="43"/>
    <x v="42"/>
    <s v="Oct-2025"/>
    <n v="42"/>
    <x v="1"/>
  </r>
  <r>
    <n v="45"/>
    <s v="YouTube"/>
    <x v="0"/>
    <x v="2"/>
    <n v="120"/>
    <n v="17"/>
    <n v="4"/>
    <x v="44"/>
    <x v="43"/>
    <s v="Oct-2025"/>
    <n v="42"/>
    <x v="2"/>
  </r>
  <r>
    <n v="46"/>
    <s v="YouTube"/>
    <x v="0"/>
    <x v="3"/>
    <n v="175"/>
    <n v="24"/>
    <n v="9"/>
    <x v="45"/>
    <x v="44"/>
    <s v="Oct-2025"/>
    <n v="42"/>
    <x v="3"/>
  </r>
  <r>
    <n v="47"/>
    <s v="YouTube"/>
    <x v="0"/>
    <x v="4"/>
    <n v="240"/>
    <n v="44"/>
    <n v="14"/>
    <x v="46"/>
    <x v="45"/>
    <s v="Oct-2025"/>
    <n v="42"/>
    <x v="4"/>
  </r>
  <r>
    <n v="48"/>
    <s v="YouTube"/>
    <x v="0"/>
    <x v="5"/>
    <n v="320"/>
    <n v="57"/>
    <n v="17"/>
    <x v="47"/>
    <x v="46"/>
    <s v="Oct-2025"/>
    <n v="42"/>
    <x v="5"/>
  </r>
  <r>
    <n v="49"/>
    <s v="YouTube"/>
    <x v="0"/>
    <x v="6"/>
    <n v="280"/>
    <n v="41"/>
    <n v="13"/>
    <x v="48"/>
    <x v="47"/>
    <s v="Oct-2025"/>
    <n v="42"/>
    <x v="6"/>
  </r>
  <r>
    <n v="50"/>
    <s v="YouTube"/>
    <x v="0"/>
    <x v="0"/>
    <n v="165"/>
    <n v="25"/>
    <n v="6"/>
    <x v="49"/>
    <x v="48"/>
    <s v="Oct-2025"/>
    <n v="4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85D2EE-1006-4E14-980B-26185963B66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9:D97" firstHeaderRow="0" firstDataRow="1" firstDataCol="1"/>
  <pivotFields count="14">
    <pivotField showAll="0"/>
    <pivotField showAll="0"/>
    <pivotField showAll="0"/>
    <pivotField axis="axisRow" showAll="0">
      <items count="8">
        <item x="5"/>
        <item x="3"/>
        <item x="2"/>
        <item x="1"/>
        <item x="4"/>
        <item x="6"/>
        <item x="0"/>
        <item t="default"/>
      </items>
    </pivotField>
    <pivotField dataField="1" showAll="0"/>
    <pivotField dataField="1" showAll="0"/>
    <pivotField dataField="1"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8">
    <i>
      <x/>
    </i>
    <i>
      <x v="1"/>
    </i>
    <i>
      <x v="2"/>
    </i>
    <i>
      <x v="3"/>
    </i>
    <i>
      <x v="4"/>
    </i>
    <i>
      <x v="5"/>
    </i>
    <i>
      <x v="6"/>
    </i>
    <i t="grand">
      <x/>
    </i>
  </rowItems>
  <colFields count="1">
    <field x="-2"/>
  </colFields>
  <colItems count="3">
    <i>
      <x/>
    </i>
    <i i="1">
      <x v="1"/>
    </i>
    <i i="2">
      <x v="2"/>
    </i>
  </colItems>
  <dataFields count="3">
    <dataField name="Sum of Likes" fld="4" baseField="0" baseItem="0"/>
    <dataField name="Sum of Comments" fld="5" baseField="0" baseItem="0"/>
    <dataField name="Sum of Shares" fld="6" baseField="0" baseItem="0"/>
  </dataFields>
  <conditionalFormats count="3">
    <conditionalFormat priority="14">
      <pivotAreas count="1">
        <pivotArea type="data" collapsedLevelsAreSubtotals="1" fieldPosition="0">
          <references count="2">
            <reference field="4294967294" count="1" selected="0">
              <x v="2"/>
            </reference>
            <reference field="3" count="7">
              <x v="0"/>
              <x v="1"/>
              <x v="2"/>
              <x v="3"/>
              <x v="4"/>
              <x v="5"/>
              <x v="6"/>
            </reference>
          </references>
        </pivotArea>
      </pivotAreas>
    </conditionalFormat>
    <conditionalFormat priority="15">
      <pivotAreas count="1">
        <pivotArea type="data" collapsedLevelsAreSubtotals="1" fieldPosition="0">
          <references count="2">
            <reference field="4294967294" count="1" selected="0">
              <x v="1"/>
            </reference>
            <reference field="3" count="7">
              <x v="0"/>
              <x v="1"/>
              <x v="2"/>
              <x v="3"/>
              <x v="4"/>
              <x v="5"/>
              <x v="6"/>
            </reference>
          </references>
        </pivotArea>
      </pivotAreas>
    </conditionalFormat>
    <conditionalFormat priority="16">
      <pivotAreas count="1">
        <pivotArea type="data" collapsedLevelsAreSubtotals="1" fieldPosition="0">
          <references count="2">
            <reference field="4294967294" count="1" selected="0">
              <x v="0"/>
            </reference>
            <reference field="3" count="7">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F21F0C-527A-4770-A413-3658AB2D666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8:B86" firstHeaderRow="1" firstDataRow="1" firstDataCol="1"/>
  <pivotFields count="14">
    <pivotField showAll="0"/>
    <pivotField showAll="0"/>
    <pivotField showAll="0"/>
    <pivotField axis="axisRow" showAll="0">
      <items count="8">
        <item x="5"/>
        <item x="3"/>
        <item x="2"/>
        <item x="1"/>
        <item x="4"/>
        <item x="6"/>
        <item x="0"/>
        <item t="default"/>
      </items>
    </pivotField>
    <pivotField showAll="0"/>
    <pivotField showAll="0"/>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8">
    <i>
      <x/>
    </i>
    <i>
      <x v="1"/>
    </i>
    <i>
      <x v="2"/>
    </i>
    <i>
      <x v="3"/>
    </i>
    <i>
      <x v="4"/>
    </i>
    <i>
      <x v="5"/>
    </i>
    <i>
      <x v="6"/>
    </i>
    <i t="grand">
      <x/>
    </i>
  </rowItems>
  <colItems count="1">
    <i/>
  </colItems>
  <dataFields count="1">
    <dataField name="Sum of Engagement Score" fld="8" baseField="0" baseItem="0"/>
  </dataFields>
  <conditionalFormats count="1">
    <conditionalFormat type="all" priority="17">
      <pivotAreas count="1">
        <pivotArea fieldPosition="0">
          <references count="1">
            <reference field="3" count="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539F33-9947-4CB7-90CE-8FAAEC53505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0:C117" firstHeaderRow="0" firstDataRow="1" firstDataCol="1"/>
  <pivotFields count="14">
    <pivotField showAll="0"/>
    <pivotField showAll="0"/>
    <pivotField showAll="0"/>
    <pivotField dataField="1" showAll="0">
      <items count="8">
        <item x="5"/>
        <item x="3"/>
        <item x="2"/>
        <item x="1"/>
        <item x="4"/>
        <item x="6"/>
        <item x="0"/>
        <item t="default"/>
      </items>
    </pivotField>
    <pivotField showAll="0"/>
    <pivotField showAll="0"/>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pivotField showAll="0"/>
    <pivotField axis="axisRow" showAll="0">
      <items count="8">
        <item x="6"/>
        <item x="0"/>
        <item x="1"/>
        <item x="2"/>
        <item x="3"/>
        <item x="4"/>
        <item x="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multipleItemSelectionAllowed="1" showAll="0">
      <items count="15">
        <item sd="0" x="0"/>
        <item sd="0" x="1"/>
        <item sd="0" x="2"/>
        <item sd="0" x="3"/>
        <item sd="0" x="4"/>
        <item sd="0" x="5"/>
        <item sd="0" x="6"/>
        <item sd="0" x="7"/>
        <item sd="0" x="8"/>
        <item x="9"/>
        <item x="10"/>
        <item sd="0" x="11"/>
        <item sd="0" x="12"/>
        <item sd="0" x="13"/>
        <item t="default"/>
      </items>
    </pivotField>
  </pivotFields>
  <rowFields count="2">
    <field x="13"/>
    <field x="11"/>
  </rowFields>
  <rowItems count="17">
    <i>
      <x v="9"/>
    </i>
    <i r="1">
      <x/>
    </i>
    <i r="1">
      <x v="1"/>
    </i>
    <i r="1">
      <x v="2"/>
    </i>
    <i r="1">
      <x v="3"/>
    </i>
    <i r="1">
      <x v="4"/>
    </i>
    <i r="1">
      <x v="5"/>
    </i>
    <i r="1">
      <x v="6"/>
    </i>
    <i>
      <x v="10"/>
    </i>
    <i r="1">
      <x/>
    </i>
    <i r="1">
      <x v="1"/>
    </i>
    <i r="1">
      <x v="2"/>
    </i>
    <i r="1">
      <x v="3"/>
    </i>
    <i r="1">
      <x v="4"/>
    </i>
    <i r="1">
      <x v="5"/>
    </i>
    <i r="1">
      <x v="6"/>
    </i>
    <i t="grand">
      <x/>
    </i>
  </rowItems>
  <colFields count="1">
    <field x="-2"/>
  </colFields>
  <colItems count="2">
    <i>
      <x/>
    </i>
    <i i="1">
      <x v="1"/>
    </i>
  </colItems>
  <dataFields count="2">
    <dataField name="Count of Topic" fld="3" subtotal="count" baseField="0" baseItem="0"/>
    <dataField name="Sum of Engagement Score" fld="8" baseField="0" baseItem="0"/>
  </dataFields>
  <conditionalFormats count="2">
    <conditionalFormat priority="7">
      <pivotAreas count="1">
        <pivotArea type="data" collapsedLevelsAreSubtotals="1" fieldPosition="0">
          <references count="3">
            <reference field="4294967294" count="1" selected="0">
              <x v="1"/>
            </reference>
            <reference field="11" count="7">
              <x v="0"/>
              <x v="1"/>
              <x v="2"/>
              <x v="3"/>
              <x v="4"/>
              <x v="5"/>
              <x v="6"/>
            </reference>
            <reference field="13" count="1" selected="0">
              <x v="10"/>
            </reference>
          </references>
        </pivotArea>
      </pivotAreas>
    </conditionalFormat>
    <conditionalFormat priority="8">
      <pivotAreas count="1">
        <pivotArea type="data" collapsedLevelsAreSubtotals="1" fieldPosition="0">
          <references count="3">
            <reference field="4294967294" count="1" selected="0">
              <x v="1"/>
            </reference>
            <reference field="11" count="7">
              <x v="0"/>
              <x v="1"/>
              <x v="2"/>
              <x v="3"/>
              <x v="4"/>
              <x v="5"/>
              <x v="6"/>
            </reference>
            <reference field="13" count="1" selected="0">
              <x v="9"/>
            </reference>
          </references>
        </pivotArea>
      </pivotAreas>
    </conditionalFormat>
  </conditionalFormat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E823E1-FCEE-49FD-8477-6FC887F473E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4:B75" firstHeaderRow="1" firstDataRow="1" firstDataCol="1"/>
  <pivotFields count="14">
    <pivotField showAll="0"/>
    <pivotField showAll="0"/>
    <pivotField showAll="0"/>
    <pivotField showAll="0"/>
    <pivotField showAll="0"/>
    <pivotField showAll="0"/>
    <pivotField showAll="0"/>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pivotField showAll="0"/>
    <pivotField showAll="0">
      <items count="8">
        <item x="6"/>
        <item x="0"/>
        <item x="1"/>
        <item x="2"/>
        <item x="3"/>
        <item x="4"/>
        <item x="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Engagement Score" fld="8" baseField="0" baseItem="0"/>
  </dataFields>
  <conditionalFormats count="3">
    <conditionalFormat priority="26">
      <pivotAreas count="1">
        <pivotArea type="data" collapsedLevelsAreSubtotals="1" fieldPosition="0">
          <references count="2">
            <reference field="4294967294" count="1" selected="0">
              <x v="0"/>
            </reference>
            <reference field="7" count="1">
              <x v="2"/>
            </reference>
          </references>
        </pivotArea>
      </pivotAreas>
    </conditionalFormat>
    <conditionalFormat scope="data" priority="27">
      <pivotAreas count="1">
        <pivotArea outline="0" fieldPosition="0">
          <references count="1">
            <reference field="4294967294" count="1" selected="0">
              <x v="0"/>
            </reference>
          </references>
        </pivotArea>
      </pivotAreas>
    </conditionalFormat>
    <conditionalFormat priority="28">
      <pivotAreas count="1">
        <pivotArea type="data" collapsedLevelsAreSubtotals="1" fieldPosition="0">
          <references count="2">
            <reference field="4294967294" count="1" selected="0">
              <x v="0"/>
            </reference>
            <reference field="7" count="1">
              <x v="2"/>
            </reference>
          </references>
        </pivotArea>
      </pivotAreas>
    </conditionalFormat>
  </conditional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C637FC-BD63-42AC-9652-5EC0F4A5DAD6}" name="Top3 topic"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0" firstHeaderRow="1" firstDataRow="1" firstDataCol="1"/>
  <pivotFields count="14">
    <pivotField showAll="0"/>
    <pivotField showAll="0"/>
    <pivotField showAll="0"/>
    <pivotField axis="axisRow" showAll="0" measureFilter="1">
      <items count="8">
        <item x="5"/>
        <item x="3"/>
        <item x="2"/>
        <item x="1"/>
        <item x="4"/>
        <item x="6"/>
        <item x="0"/>
        <item t="default"/>
      </items>
    </pivotField>
    <pivotField showAll="0"/>
    <pivotField showAll="0"/>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4"/>
    </i>
    <i>
      <x v="5"/>
    </i>
    <i t="grand">
      <x/>
    </i>
  </rowItems>
  <colItems count="1">
    <i/>
  </colItems>
  <dataFields count="1">
    <dataField name="Sum of Engagement Score" fld="8" baseField="0" baseItem="0"/>
  </dataFields>
  <formats count="2">
    <format dxfId="18">
      <pivotArea dataOnly="0" labelOnly="1" outline="0" axis="axisValues" fieldPosition="0"/>
    </format>
    <format dxfId="17">
      <pivotArea dataOnly="0" labelOnly="1" outline="0" axis="axisValues" fieldPosition="0"/>
    </format>
  </format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20E882-AEF7-49E0-AC8C-28F89C86E799}" name="TopicwiseTo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1" firstHeaderRow="0" firstDataRow="1" firstDataCol="1"/>
  <pivotFields count="14">
    <pivotField showAll="0"/>
    <pivotField showAll="0"/>
    <pivotField showAll="0"/>
    <pivotField axis="axisRow" showAll="0">
      <items count="8">
        <item x="5"/>
        <item x="3"/>
        <item x="2"/>
        <item x="1"/>
        <item x="4"/>
        <item x="6"/>
        <item x="0"/>
        <item t="default"/>
      </items>
    </pivotField>
    <pivotField dataField="1" showAll="0"/>
    <pivotField dataField="1" showAll="0"/>
    <pivotField dataField="1"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8">
    <i>
      <x/>
    </i>
    <i>
      <x v="1"/>
    </i>
    <i>
      <x v="2"/>
    </i>
    <i>
      <x v="3"/>
    </i>
    <i>
      <x v="4"/>
    </i>
    <i>
      <x v="5"/>
    </i>
    <i>
      <x v="6"/>
    </i>
    <i t="grand">
      <x/>
    </i>
  </rowItems>
  <colFields count="1">
    <field x="-2"/>
  </colFields>
  <colItems count="3">
    <i>
      <x/>
    </i>
    <i i="1">
      <x v="1"/>
    </i>
    <i i="2">
      <x v="2"/>
    </i>
  </colItems>
  <dataFields count="3">
    <dataField name="Sum of Likes" fld="4" baseField="0" baseItem="0"/>
    <dataField name="Sum of Comments" fld="5" baseField="0" baseItem="0"/>
    <dataField name="Sum of Shares" fld="6"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2FA41E-FD0C-4667-9FD7-A69DFCC7DF35}" autoFormatId="16" applyNumberFormats="0" applyBorderFormats="0" applyFontFormats="0" applyPatternFormats="0" applyAlignmentFormats="0" applyWidthHeightFormats="0">
  <queryTableRefresh nextId="13" unboundColumnsRight="4">
    <queryTableFields count="12">
      <queryTableField id="1" name="Post ID" tableColumnId="1"/>
      <queryTableField id="2" name="Platform" tableColumnId="2"/>
      <queryTableField id="3" name="Post Type" tableColumnId="3"/>
      <queryTableField id="4" name="Topic" tableColumnId="4"/>
      <queryTableField id="5" name="Likes" tableColumnId="5"/>
      <queryTableField id="6" name="Comments" tableColumnId="6"/>
      <queryTableField id="7" name="Shares" tableColumnId="7"/>
      <queryTableField id="8" name="Date" tableColumnId="8"/>
      <queryTableField id="9" dataBound="0" tableColumnId="9"/>
      <queryTableField id="10" dataBound="0" tableColumnId="10"/>
      <queryTableField id="11" dataBound="0"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ic" xr10:uid="{88820942-0761-4BF7-A4C3-02189017EF95}" sourceName="Topic">
  <pivotTables>
    <pivotTable tabId="4" name="TopicwiseTotal"/>
    <pivotTable tabId="4" name="PivotTable1"/>
    <pivotTable tabId="4" name="PivotTable2"/>
    <pivotTable tabId="4" name="PivotTable3"/>
  </pivotTables>
  <data>
    <tabular pivotCacheId="886141677">
      <items count="7">
        <i x="5" s="1"/>
        <i x="3" s="1"/>
        <i x="2" s="1"/>
        <i x="1" s="1"/>
        <i x="4"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pic" xr10:uid="{92EB039D-7791-4DEE-812E-8CC8A0C14ED7}" cache="Slicer_Topic" caption="Topic"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pic 1" xr10:uid="{71320558-14C0-4330-8C9E-DABA4591F9B8}" cache="Slicer_Topic" caption="Topic"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43A9705-DBE8-48AC-A194-B36255D07E5D}" name="Dataset" displayName="Dataset" ref="A1:L51" tableType="queryTable" totalsRowShown="0">
  <tableColumns count="12">
    <tableColumn id="1" xr3:uid="{38AFE430-F035-4DFF-B92D-9F6819FA3C1E}" uniqueName="1" name="Post ID" queryTableFieldId="1"/>
    <tableColumn id="2" xr3:uid="{8EA1970D-C103-435E-BC65-49D1E8E26810}" uniqueName="2" name="Platform" queryTableFieldId="2" dataDxfId="16"/>
    <tableColumn id="3" xr3:uid="{78AF9CA3-6266-40DF-B555-BAE10E5DC0B5}" uniqueName="3" name="Post Type" queryTableFieldId="3" dataDxfId="15"/>
    <tableColumn id="4" xr3:uid="{C838EF7D-3DC0-4520-9A00-0547CE6BBA2E}" uniqueName="4" name="Topic" queryTableFieldId="4" dataDxfId="14"/>
    <tableColumn id="5" xr3:uid="{FF7F3BAF-DF1F-4AE9-98A0-8B87FF5D4B5C}" uniqueName="5" name="Likes" queryTableFieldId="5"/>
    <tableColumn id="6" xr3:uid="{63F0AC61-B865-42D3-A192-EAF35AAF200D}" uniqueName="6" name="Comments" queryTableFieldId="6"/>
    <tableColumn id="7" xr3:uid="{FB1217CA-C77A-4429-8938-AACC34AEF938}" uniqueName="7" name="Shares" queryTableFieldId="7"/>
    <tableColumn id="8" xr3:uid="{1D709996-349D-4295-83C9-C4A53DB2D1C2}" uniqueName="8" name="Date" queryTableFieldId="8" dataDxfId="13"/>
    <tableColumn id="9" xr3:uid="{1564BE40-6B57-4D72-998F-5BAEAE430821}" uniqueName="9" name="Engagement Score" queryTableFieldId="9" dataDxfId="12">
      <calculatedColumnFormula>SUM(Dataset[[#This Row],[Likes]:[Shares]])</calculatedColumnFormula>
    </tableColumn>
    <tableColumn id="10" xr3:uid="{3E37ADF1-3E68-4560-9FEE-F90961991AC5}" uniqueName="10" name="Month Column" queryTableFieldId="10" dataDxfId="11">
      <calculatedColumnFormula>TEXT(Dataset[[#This Row],[Date]],"mmm-yyyy")</calculatedColumnFormula>
    </tableColumn>
    <tableColumn id="11" xr3:uid="{0ED9D87A-4420-40CB-967D-900F2D0E9994}" uniqueName="11" name="Week Num" queryTableFieldId="11" dataDxfId="10">
      <calculatedColumnFormula>WEEKNUM(Dataset[[#This Row],[Date]], 2)</calculatedColumnFormula>
    </tableColumn>
    <tableColumn id="12" xr3:uid="{750518D1-8EB9-41A6-94E4-68A82373B25D}" uniqueName="12" name="weekday" queryTableFieldId="12" dataDxfId="9">
      <calculatedColumnFormula>TEXT(Dataset[[#This Row],[Date]],"dddd")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3409B-51CC-4720-A40C-5FE74DDAA243}">
  <dimension ref="A2:F117"/>
  <sheetViews>
    <sheetView topLeftCell="A94" zoomScale="88" zoomScaleNormal="160" workbookViewId="0">
      <selection activeCell="C101" sqref="C101"/>
    </sheetView>
  </sheetViews>
  <sheetFormatPr defaultRowHeight="14.4" x14ac:dyDescent="0.3"/>
  <cols>
    <col min="1" max="1" width="14.44140625" bestFit="1" customWidth="1"/>
    <col min="2" max="2" width="13.6640625" bestFit="1" customWidth="1"/>
    <col min="3" max="3" width="23.88671875" bestFit="1" customWidth="1"/>
    <col min="4" max="4" width="13.21875" bestFit="1" customWidth="1"/>
    <col min="5" max="5" width="10.88671875" bestFit="1" customWidth="1"/>
    <col min="6" max="6" width="8.77734375" bestFit="1" customWidth="1"/>
    <col min="7" max="7" width="6.109375" bestFit="1" customWidth="1"/>
    <col min="8" max="8" width="8.5546875" bestFit="1" customWidth="1"/>
    <col min="9" max="9" width="10.88671875" bestFit="1" customWidth="1"/>
    <col min="10" max="10" width="17.21875" bestFit="1" customWidth="1"/>
    <col min="11" max="11" width="23.44140625" bestFit="1" customWidth="1"/>
    <col min="12" max="12" width="17.21875" bestFit="1" customWidth="1"/>
    <col min="13" max="13" width="23.44140625" bestFit="1" customWidth="1"/>
    <col min="14" max="14" width="17.21875" bestFit="1" customWidth="1"/>
    <col min="15" max="15" width="23.44140625" bestFit="1" customWidth="1"/>
    <col min="16" max="16" width="22" bestFit="1" customWidth="1"/>
    <col min="17" max="17" width="28.21875" bestFit="1" customWidth="1"/>
  </cols>
  <sheetData>
    <row r="2" spans="1:6" x14ac:dyDescent="0.3">
      <c r="A2" s="4" t="s">
        <v>25</v>
      </c>
      <c r="B2" s="5"/>
      <c r="C2" s="5"/>
    </row>
    <row r="3" spans="1:6" x14ac:dyDescent="0.3">
      <c r="A3" s="2" t="s">
        <v>20</v>
      </c>
      <c r="B3" t="s">
        <v>22</v>
      </c>
      <c r="C3" t="s">
        <v>23</v>
      </c>
      <c r="D3" t="s">
        <v>24</v>
      </c>
    </row>
    <row r="4" spans="1:6" x14ac:dyDescent="0.3">
      <c r="A4" s="3" t="s">
        <v>15</v>
      </c>
      <c r="B4" s="14">
        <v>2190</v>
      </c>
      <c r="C4" s="14">
        <v>380</v>
      </c>
      <c r="D4" s="14">
        <v>112</v>
      </c>
    </row>
    <row r="5" spans="1:6" x14ac:dyDescent="0.3">
      <c r="A5" s="3" t="s">
        <v>13</v>
      </c>
      <c r="B5" s="14">
        <v>1205</v>
      </c>
      <c r="C5" s="14">
        <v>160</v>
      </c>
      <c r="D5" s="14">
        <v>58</v>
      </c>
    </row>
    <row r="6" spans="1:6" x14ac:dyDescent="0.3">
      <c r="A6" s="3" t="s">
        <v>12</v>
      </c>
      <c r="B6" s="14">
        <v>865</v>
      </c>
      <c r="C6" s="14">
        <v>120</v>
      </c>
      <c r="D6" s="14">
        <v>31</v>
      </c>
    </row>
    <row r="7" spans="1:6" x14ac:dyDescent="0.3">
      <c r="A7" s="3" t="s">
        <v>11</v>
      </c>
      <c r="B7" s="14">
        <v>1355</v>
      </c>
      <c r="C7" s="14">
        <v>203</v>
      </c>
      <c r="D7" s="14">
        <v>70</v>
      </c>
    </row>
    <row r="8" spans="1:6" x14ac:dyDescent="0.3">
      <c r="A8" s="3" t="s">
        <v>14</v>
      </c>
      <c r="B8" s="14">
        <v>1590</v>
      </c>
      <c r="C8" s="14">
        <v>292</v>
      </c>
      <c r="D8" s="14">
        <v>89</v>
      </c>
    </row>
    <row r="9" spans="1:6" x14ac:dyDescent="0.3">
      <c r="A9" s="3" t="s">
        <v>16</v>
      </c>
      <c r="B9" s="14">
        <v>1860</v>
      </c>
      <c r="C9" s="14">
        <v>272</v>
      </c>
      <c r="D9" s="14">
        <v>81</v>
      </c>
    </row>
    <row r="10" spans="1:6" x14ac:dyDescent="0.3">
      <c r="A10" s="3" t="s">
        <v>10</v>
      </c>
      <c r="B10" s="14">
        <v>1290</v>
      </c>
      <c r="C10" s="14">
        <v>183</v>
      </c>
      <c r="D10" s="14">
        <v>46</v>
      </c>
    </row>
    <row r="11" spans="1:6" x14ac:dyDescent="0.3">
      <c r="A11" s="3" t="s">
        <v>21</v>
      </c>
      <c r="B11" s="14">
        <v>10355</v>
      </c>
      <c r="C11" s="14">
        <v>1610</v>
      </c>
      <c r="D11" s="14">
        <v>487</v>
      </c>
    </row>
    <row r="14" spans="1:6" ht="18" x14ac:dyDescent="0.35">
      <c r="A14" s="7" t="s">
        <v>26</v>
      </c>
      <c r="B14" s="8"/>
      <c r="C14" s="8"/>
      <c r="D14" s="8"/>
      <c r="E14" s="8"/>
      <c r="F14" s="5"/>
    </row>
    <row r="15" spans="1:6" x14ac:dyDescent="0.3">
      <c r="A15" t="s">
        <v>28</v>
      </c>
    </row>
    <row r="16" spans="1:6" x14ac:dyDescent="0.3">
      <c r="A16" s="2" t="s">
        <v>20</v>
      </c>
      <c r="B16" s="10" t="s">
        <v>27</v>
      </c>
      <c r="C16" s="10"/>
    </row>
    <row r="17" spans="1:2" x14ac:dyDescent="0.3">
      <c r="A17" s="3" t="s">
        <v>15</v>
      </c>
      <c r="B17">
        <v>2682</v>
      </c>
    </row>
    <row r="18" spans="1:2" x14ac:dyDescent="0.3">
      <c r="A18" s="3" t="s">
        <v>14</v>
      </c>
      <c r="B18">
        <v>1971</v>
      </c>
    </row>
    <row r="19" spans="1:2" x14ac:dyDescent="0.3">
      <c r="A19" s="3" t="s">
        <v>16</v>
      </c>
      <c r="B19">
        <v>2213</v>
      </c>
    </row>
    <row r="20" spans="1:2" x14ac:dyDescent="0.3">
      <c r="A20" s="3" t="s">
        <v>21</v>
      </c>
      <c r="B20">
        <v>6866</v>
      </c>
    </row>
    <row r="23" spans="1:2" x14ac:dyDescent="0.3">
      <c r="A23" s="6" t="s">
        <v>29</v>
      </c>
    </row>
    <row r="24" spans="1:2" x14ac:dyDescent="0.3">
      <c r="A24" s="2" t="s">
        <v>20</v>
      </c>
      <c r="B24" t="s">
        <v>27</v>
      </c>
    </row>
    <row r="25" spans="1:2" x14ac:dyDescent="0.3">
      <c r="A25" s="9">
        <v>45901</v>
      </c>
      <c r="B25" s="14">
        <v>175</v>
      </c>
    </row>
    <row r="26" spans="1:2" x14ac:dyDescent="0.3">
      <c r="A26" s="9">
        <v>45902</v>
      </c>
      <c r="B26" s="14">
        <v>240</v>
      </c>
    </row>
    <row r="27" spans="1:2" x14ac:dyDescent="0.3">
      <c r="A27" s="9">
        <v>45903</v>
      </c>
      <c r="B27" s="14">
        <v>118</v>
      </c>
    </row>
    <row r="28" spans="1:2" x14ac:dyDescent="0.3">
      <c r="A28" s="9">
        <v>45904</v>
      </c>
      <c r="B28" s="14">
        <v>213</v>
      </c>
    </row>
    <row r="29" spans="1:2" x14ac:dyDescent="0.3">
      <c r="A29" s="9">
        <v>45905</v>
      </c>
      <c r="B29" s="14">
        <v>272</v>
      </c>
    </row>
    <row r="30" spans="1:2" x14ac:dyDescent="0.3">
      <c r="A30" s="9">
        <v>45906</v>
      </c>
      <c r="B30" s="14">
        <v>365</v>
      </c>
    </row>
    <row r="31" spans="1:2" x14ac:dyDescent="0.3">
      <c r="A31" s="9">
        <v>45907</v>
      </c>
      <c r="B31" s="14">
        <v>295</v>
      </c>
    </row>
    <row r="32" spans="1:2" x14ac:dyDescent="0.3">
      <c r="A32" s="9">
        <v>45908</v>
      </c>
      <c r="B32" s="14">
        <v>198</v>
      </c>
    </row>
    <row r="33" spans="1:2" x14ac:dyDescent="0.3">
      <c r="A33" s="9">
        <v>45909</v>
      </c>
      <c r="B33" s="14">
        <v>227</v>
      </c>
    </row>
    <row r="34" spans="1:2" x14ac:dyDescent="0.3">
      <c r="A34" s="9">
        <v>45910</v>
      </c>
      <c r="B34" s="14">
        <v>142</v>
      </c>
    </row>
    <row r="35" spans="1:2" x14ac:dyDescent="0.3">
      <c r="A35" s="9">
        <v>45911</v>
      </c>
      <c r="B35" s="14">
        <v>187</v>
      </c>
    </row>
    <row r="36" spans="1:2" x14ac:dyDescent="0.3">
      <c r="A36" s="9">
        <v>45912</v>
      </c>
      <c r="B36" s="14">
        <v>259</v>
      </c>
    </row>
    <row r="37" spans="1:2" x14ac:dyDescent="0.3">
      <c r="A37" s="9">
        <v>45913</v>
      </c>
      <c r="B37" s="14">
        <v>391</v>
      </c>
    </row>
    <row r="38" spans="1:2" x14ac:dyDescent="0.3">
      <c r="A38" s="9">
        <v>45914</v>
      </c>
      <c r="B38" s="14">
        <v>322</v>
      </c>
    </row>
    <row r="39" spans="1:2" x14ac:dyDescent="0.3">
      <c r="A39" s="9">
        <v>45915</v>
      </c>
      <c r="B39" s="14">
        <v>181</v>
      </c>
    </row>
    <row r="40" spans="1:2" x14ac:dyDescent="0.3">
      <c r="A40" s="9">
        <v>45916</v>
      </c>
      <c r="B40" s="14">
        <v>234</v>
      </c>
    </row>
    <row r="41" spans="1:2" x14ac:dyDescent="0.3">
      <c r="A41" s="9">
        <v>45917</v>
      </c>
      <c r="B41" s="14">
        <v>152</v>
      </c>
    </row>
    <row r="42" spans="1:2" x14ac:dyDescent="0.3">
      <c r="A42" s="9">
        <v>45918</v>
      </c>
      <c r="B42" s="14">
        <v>207</v>
      </c>
    </row>
    <row r="43" spans="1:2" x14ac:dyDescent="0.3">
      <c r="A43" s="9">
        <v>45919</v>
      </c>
      <c r="B43" s="14">
        <v>285</v>
      </c>
    </row>
    <row r="44" spans="1:2" x14ac:dyDescent="0.3">
      <c r="A44" s="9">
        <v>45920</v>
      </c>
      <c r="B44" s="14">
        <v>378</v>
      </c>
    </row>
    <row r="45" spans="1:2" x14ac:dyDescent="0.3">
      <c r="A45" s="9">
        <v>45921</v>
      </c>
      <c r="B45" s="14">
        <v>309</v>
      </c>
    </row>
    <row r="46" spans="1:2" x14ac:dyDescent="0.3">
      <c r="A46" s="9">
        <v>45922</v>
      </c>
      <c r="B46" s="14">
        <v>195</v>
      </c>
    </row>
    <row r="47" spans="1:2" x14ac:dyDescent="0.3">
      <c r="A47" s="9">
        <v>45923</v>
      </c>
      <c r="B47" s="14">
        <v>221</v>
      </c>
    </row>
    <row r="48" spans="1:2" x14ac:dyDescent="0.3">
      <c r="A48" s="9">
        <v>45924</v>
      </c>
      <c r="B48" s="14">
        <v>145</v>
      </c>
    </row>
    <row r="49" spans="1:2" x14ac:dyDescent="0.3">
      <c r="A49" s="9">
        <v>45925</v>
      </c>
      <c r="B49" s="14">
        <v>200</v>
      </c>
    </row>
    <row r="50" spans="1:2" x14ac:dyDescent="0.3">
      <c r="A50" s="9">
        <v>45926</v>
      </c>
      <c r="B50" s="14">
        <v>299</v>
      </c>
    </row>
    <row r="51" spans="1:2" x14ac:dyDescent="0.3">
      <c r="A51" s="9">
        <v>45927</v>
      </c>
      <c r="B51" s="14">
        <v>408</v>
      </c>
    </row>
    <row r="52" spans="1:2" x14ac:dyDescent="0.3">
      <c r="A52" s="9">
        <v>45928</v>
      </c>
      <c r="B52" s="14">
        <v>335</v>
      </c>
    </row>
    <row r="53" spans="1:2" x14ac:dyDescent="0.3">
      <c r="A53" s="9">
        <v>45929</v>
      </c>
      <c r="B53" s="14">
        <v>188</v>
      </c>
    </row>
    <row r="54" spans="1:2" x14ac:dyDescent="0.3">
      <c r="A54" s="9">
        <v>45930</v>
      </c>
      <c r="B54" s="14">
        <v>241</v>
      </c>
    </row>
    <row r="55" spans="1:2" x14ac:dyDescent="0.3">
      <c r="A55" s="9">
        <v>45931</v>
      </c>
      <c r="B55" s="14">
        <v>165</v>
      </c>
    </row>
    <row r="56" spans="1:2" x14ac:dyDescent="0.3">
      <c r="A56" s="9">
        <v>45932</v>
      </c>
      <c r="B56" s="14">
        <v>214</v>
      </c>
    </row>
    <row r="57" spans="1:2" x14ac:dyDescent="0.3">
      <c r="A57" s="9">
        <v>45933</v>
      </c>
      <c r="B57" s="14">
        <v>272</v>
      </c>
    </row>
    <row r="58" spans="1:2" x14ac:dyDescent="0.3">
      <c r="A58" s="9">
        <v>45934</v>
      </c>
      <c r="B58" s="14">
        <v>370</v>
      </c>
    </row>
    <row r="59" spans="1:2" x14ac:dyDescent="0.3">
      <c r="A59" s="9">
        <v>45935</v>
      </c>
      <c r="B59" s="14">
        <v>297</v>
      </c>
    </row>
    <row r="60" spans="1:2" x14ac:dyDescent="0.3">
      <c r="A60" s="9">
        <v>45936</v>
      </c>
      <c r="B60" s="14">
        <v>203</v>
      </c>
    </row>
    <row r="61" spans="1:2" x14ac:dyDescent="0.3">
      <c r="A61" s="9">
        <v>45937</v>
      </c>
      <c r="B61" s="14">
        <v>228</v>
      </c>
    </row>
    <row r="62" spans="1:2" x14ac:dyDescent="0.3">
      <c r="A62" s="9">
        <v>45938</v>
      </c>
      <c r="B62" s="14">
        <v>153</v>
      </c>
    </row>
    <row r="63" spans="1:2" x14ac:dyDescent="0.3">
      <c r="A63" s="9">
        <v>45939</v>
      </c>
      <c r="B63" s="14">
        <v>194</v>
      </c>
    </row>
    <row r="64" spans="1:2" x14ac:dyDescent="0.3">
      <c r="A64" s="9">
        <v>45940</v>
      </c>
      <c r="B64" s="14">
        <v>286</v>
      </c>
    </row>
    <row r="65" spans="1:2" x14ac:dyDescent="0.3">
      <c r="A65" s="9">
        <v>45941</v>
      </c>
      <c r="B65" s="14">
        <v>376</v>
      </c>
    </row>
    <row r="66" spans="1:2" x14ac:dyDescent="0.3">
      <c r="A66" s="9">
        <v>45942</v>
      </c>
      <c r="B66" s="14">
        <v>321</v>
      </c>
    </row>
    <row r="67" spans="1:2" x14ac:dyDescent="0.3">
      <c r="A67" s="9">
        <v>45943</v>
      </c>
      <c r="B67" s="14">
        <v>183</v>
      </c>
    </row>
    <row r="68" spans="1:2" x14ac:dyDescent="0.3">
      <c r="A68" s="9">
        <v>45944</v>
      </c>
      <c r="B68" s="14">
        <v>237</v>
      </c>
    </row>
    <row r="69" spans="1:2" x14ac:dyDescent="0.3">
      <c r="A69" s="9">
        <v>45945</v>
      </c>
      <c r="B69" s="14">
        <v>141</v>
      </c>
    </row>
    <row r="70" spans="1:2" x14ac:dyDescent="0.3">
      <c r="A70" s="9">
        <v>45946</v>
      </c>
      <c r="B70" s="14">
        <v>208</v>
      </c>
    </row>
    <row r="71" spans="1:2" x14ac:dyDescent="0.3">
      <c r="A71" s="9">
        <v>45947</v>
      </c>
      <c r="B71" s="14">
        <v>298</v>
      </c>
    </row>
    <row r="72" spans="1:2" x14ac:dyDescent="0.3">
      <c r="A72" s="9">
        <v>45948</v>
      </c>
      <c r="B72" s="14">
        <v>394</v>
      </c>
    </row>
    <row r="73" spans="1:2" x14ac:dyDescent="0.3">
      <c r="A73" s="9">
        <v>45949</v>
      </c>
      <c r="B73" s="14">
        <v>334</v>
      </c>
    </row>
    <row r="74" spans="1:2" x14ac:dyDescent="0.3">
      <c r="A74" s="9">
        <v>45950</v>
      </c>
      <c r="B74" s="14">
        <v>196</v>
      </c>
    </row>
    <row r="75" spans="1:2" x14ac:dyDescent="0.3">
      <c r="A75" s="9" t="s">
        <v>21</v>
      </c>
      <c r="B75" s="14">
        <v>12452</v>
      </c>
    </row>
    <row r="77" spans="1:2" x14ac:dyDescent="0.3">
      <c r="A77" s="11" t="s">
        <v>30</v>
      </c>
    </row>
    <row r="78" spans="1:2" x14ac:dyDescent="0.3">
      <c r="A78" s="2" t="s">
        <v>20</v>
      </c>
      <c r="B78" t="s">
        <v>27</v>
      </c>
    </row>
    <row r="79" spans="1:2" x14ac:dyDescent="0.3">
      <c r="A79" s="3" t="s">
        <v>15</v>
      </c>
      <c r="B79" s="14">
        <v>2682</v>
      </c>
    </row>
    <row r="80" spans="1:2" x14ac:dyDescent="0.3">
      <c r="A80" s="3" t="s">
        <v>13</v>
      </c>
      <c r="B80" s="14">
        <v>1423</v>
      </c>
    </row>
    <row r="81" spans="1:4" x14ac:dyDescent="0.3">
      <c r="A81" s="3" t="s">
        <v>12</v>
      </c>
      <c r="B81" s="14">
        <v>1016</v>
      </c>
    </row>
    <row r="82" spans="1:4" x14ac:dyDescent="0.3">
      <c r="A82" s="3" t="s">
        <v>11</v>
      </c>
      <c r="B82" s="14">
        <v>1628</v>
      </c>
    </row>
    <row r="83" spans="1:4" x14ac:dyDescent="0.3">
      <c r="A83" s="3" t="s">
        <v>14</v>
      </c>
      <c r="B83" s="14">
        <v>1971</v>
      </c>
    </row>
    <row r="84" spans="1:4" x14ac:dyDescent="0.3">
      <c r="A84" s="3" t="s">
        <v>16</v>
      </c>
      <c r="B84" s="14">
        <v>2213</v>
      </c>
    </row>
    <row r="85" spans="1:4" x14ac:dyDescent="0.3">
      <c r="A85" s="3" t="s">
        <v>10</v>
      </c>
      <c r="B85" s="14">
        <v>1519</v>
      </c>
    </row>
    <row r="86" spans="1:4" x14ac:dyDescent="0.3">
      <c r="A86" s="3" t="s">
        <v>21</v>
      </c>
      <c r="B86" s="14">
        <v>12452</v>
      </c>
    </row>
    <row r="88" spans="1:4" x14ac:dyDescent="0.3">
      <c r="A88" s="11" t="s">
        <v>31</v>
      </c>
    </row>
    <row r="89" spans="1:4" x14ac:dyDescent="0.3">
      <c r="A89" s="2" t="s">
        <v>20</v>
      </c>
      <c r="B89" t="s">
        <v>22</v>
      </c>
      <c r="C89" t="s">
        <v>23</v>
      </c>
      <c r="D89" t="s">
        <v>24</v>
      </c>
    </row>
    <row r="90" spans="1:4" x14ac:dyDescent="0.3">
      <c r="A90" s="3" t="s">
        <v>15</v>
      </c>
      <c r="B90" s="14">
        <v>2190</v>
      </c>
      <c r="C90" s="14">
        <v>380</v>
      </c>
      <c r="D90" s="14">
        <v>112</v>
      </c>
    </row>
    <row r="91" spans="1:4" x14ac:dyDescent="0.3">
      <c r="A91" s="3" t="s">
        <v>13</v>
      </c>
      <c r="B91" s="14">
        <v>1205</v>
      </c>
      <c r="C91" s="14">
        <v>160</v>
      </c>
      <c r="D91" s="14">
        <v>58</v>
      </c>
    </row>
    <row r="92" spans="1:4" x14ac:dyDescent="0.3">
      <c r="A92" s="3" t="s">
        <v>12</v>
      </c>
      <c r="B92" s="14">
        <v>865</v>
      </c>
      <c r="C92" s="14">
        <v>120</v>
      </c>
      <c r="D92" s="14">
        <v>31</v>
      </c>
    </row>
    <row r="93" spans="1:4" x14ac:dyDescent="0.3">
      <c r="A93" s="3" t="s">
        <v>11</v>
      </c>
      <c r="B93" s="14">
        <v>1355</v>
      </c>
      <c r="C93" s="14">
        <v>203</v>
      </c>
      <c r="D93" s="14">
        <v>70</v>
      </c>
    </row>
    <row r="94" spans="1:4" x14ac:dyDescent="0.3">
      <c r="A94" s="3" t="s">
        <v>14</v>
      </c>
      <c r="B94" s="14">
        <v>1590</v>
      </c>
      <c r="C94" s="14">
        <v>292</v>
      </c>
      <c r="D94" s="14">
        <v>89</v>
      </c>
    </row>
    <row r="95" spans="1:4" x14ac:dyDescent="0.3">
      <c r="A95" s="3" t="s">
        <v>16</v>
      </c>
      <c r="B95" s="14">
        <v>1860</v>
      </c>
      <c r="C95" s="14">
        <v>272</v>
      </c>
      <c r="D95" s="14">
        <v>81</v>
      </c>
    </row>
    <row r="96" spans="1:4" x14ac:dyDescent="0.3">
      <c r="A96" s="3" t="s">
        <v>10</v>
      </c>
      <c r="B96" s="14">
        <v>1290</v>
      </c>
      <c r="C96" s="14">
        <v>183</v>
      </c>
      <c r="D96" s="14">
        <v>46</v>
      </c>
    </row>
    <row r="97" spans="1:4" x14ac:dyDescent="0.3">
      <c r="A97" s="3" t="s">
        <v>21</v>
      </c>
      <c r="B97" s="14">
        <v>10355</v>
      </c>
      <c r="C97" s="14">
        <v>1610</v>
      </c>
      <c r="D97" s="14">
        <v>487</v>
      </c>
    </row>
    <row r="99" spans="1:4" x14ac:dyDescent="0.3">
      <c r="A99" s="12" t="s">
        <v>43</v>
      </c>
      <c r="B99" s="12"/>
      <c r="C99" s="12"/>
    </row>
    <row r="100" spans="1:4" x14ac:dyDescent="0.3">
      <c r="A100" s="2" t="s">
        <v>20</v>
      </c>
      <c r="B100" t="s">
        <v>32</v>
      </c>
      <c r="C100" t="s">
        <v>27</v>
      </c>
    </row>
    <row r="101" spans="1:4" x14ac:dyDescent="0.3">
      <c r="A101" s="3" t="s">
        <v>33</v>
      </c>
      <c r="B101" s="14">
        <v>30</v>
      </c>
      <c r="C101" s="14">
        <v>7382</v>
      </c>
    </row>
    <row r="102" spans="1:4" x14ac:dyDescent="0.3">
      <c r="A102" s="13" t="s">
        <v>42</v>
      </c>
      <c r="B102" s="14">
        <v>4</v>
      </c>
      <c r="C102" s="14">
        <v>1261</v>
      </c>
    </row>
    <row r="103" spans="1:4" x14ac:dyDescent="0.3">
      <c r="A103" s="13" t="s">
        <v>36</v>
      </c>
      <c r="B103" s="14">
        <v>5</v>
      </c>
      <c r="C103" s="14">
        <v>937</v>
      </c>
    </row>
    <row r="104" spans="1:4" x14ac:dyDescent="0.3">
      <c r="A104" s="13" t="s">
        <v>37</v>
      </c>
      <c r="B104" s="14">
        <v>5</v>
      </c>
      <c r="C104" s="14">
        <v>1163</v>
      </c>
    </row>
    <row r="105" spans="1:4" x14ac:dyDescent="0.3">
      <c r="A105" s="13" t="s">
        <v>38</v>
      </c>
      <c r="B105" s="14">
        <v>4</v>
      </c>
      <c r="C105" s="14">
        <v>557</v>
      </c>
    </row>
    <row r="106" spans="1:4" x14ac:dyDescent="0.3">
      <c r="A106" s="13" t="s">
        <v>39</v>
      </c>
      <c r="B106" s="14">
        <v>4</v>
      </c>
      <c r="C106" s="14">
        <v>807</v>
      </c>
    </row>
    <row r="107" spans="1:4" x14ac:dyDescent="0.3">
      <c r="A107" s="13" t="s">
        <v>40</v>
      </c>
      <c r="B107" s="14">
        <v>4</v>
      </c>
      <c r="C107" s="14">
        <v>1115</v>
      </c>
    </row>
    <row r="108" spans="1:4" x14ac:dyDescent="0.3">
      <c r="A108" s="13" t="s">
        <v>41</v>
      </c>
      <c r="B108" s="14">
        <v>4</v>
      </c>
      <c r="C108" s="14">
        <v>1542</v>
      </c>
    </row>
    <row r="109" spans="1:4" x14ac:dyDescent="0.3">
      <c r="A109" s="3" t="s">
        <v>34</v>
      </c>
      <c r="B109" s="14">
        <v>20</v>
      </c>
      <c r="C109" s="14">
        <v>5070</v>
      </c>
    </row>
    <row r="110" spans="1:4" x14ac:dyDescent="0.3">
      <c r="A110" s="13" t="s">
        <v>42</v>
      </c>
      <c r="B110" s="14">
        <v>3</v>
      </c>
      <c r="C110" s="14">
        <v>952</v>
      </c>
    </row>
    <row r="111" spans="1:4" x14ac:dyDescent="0.3">
      <c r="A111" s="13" t="s">
        <v>36</v>
      </c>
      <c r="B111" s="14">
        <v>3</v>
      </c>
      <c r="C111" s="14">
        <v>582</v>
      </c>
    </row>
    <row r="112" spans="1:4" x14ac:dyDescent="0.3">
      <c r="A112" s="13" t="s">
        <v>37</v>
      </c>
      <c r="B112" s="14">
        <v>2</v>
      </c>
      <c r="C112" s="14">
        <v>465</v>
      </c>
    </row>
    <row r="113" spans="1:3" x14ac:dyDescent="0.3">
      <c r="A113" s="13" t="s">
        <v>38</v>
      </c>
      <c r="B113" s="14">
        <v>3</v>
      </c>
      <c r="C113" s="14">
        <v>459</v>
      </c>
    </row>
    <row r="114" spans="1:3" x14ac:dyDescent="0.3">
      <c r="A114" s="13" t="s">
        <v>39</v>
      </c>
      <c r="B114" s="14">
        <v>3</v>
      </c>
      <c r="C114" s="14">
        <v>616</v>
      </c>
    </row>
    <row r="115" spans="1:3" x14ac:dyDescent="0.3">
      <c r="A115" s="13" t="s">
        <v>40</v>
      </c>
      <c r="B115" s="14">
        <v>3</v>
      </c>
      <c r="C115" s="14">
        <v>856</v>
      </c>
    </row>
    <row r="116" spans="1:3" x14ac:dyDescent="0.3">
      <c r="A116" s="13" t="s">
        <v>41</v>
      </c>
      <c r="B116" s="14">
        <v>3</v>
      </c>
      <c r="C116" s="14">
        <v>1140</v>
      </c>
    </row>
    <row r="117" spans="1:3" x14ac:dyDescent="0.3">
      <c r="A117" s="3" t="s">
        <v>21</v>
      </c>
      <c r="B117" s="14">
        <v>50</v>
      </c>
      <c r="C117" s="14">
        <v>12452</v>
      </c>
    </row>
  </sheetData>
  <conditionalFormatting pivot="1" sqref="B27">
    <cfRule type="cellIs" dxfId="8" priority="28" operator="lessThan">
      <formula>118</formula>
    </cfRule>
  </conditionalFormatting>
  <conditionalFormatting pivot="1" sqref="B25:B75">
    <cfRule type="cellIs" dxfId="7" priority="27" operator="lessThan">
      <formula>100</formula>
    </cfRule>
  </conditionalFormatting>
  <conditionalFormatting pivot="1" sqref="B27">
    <cfRule type="cellIs" dxfId="6" priority="26" operator="lessThan">
      <formula>120</formula>
    </cfRule>
  </conditionalFormatting>
  <conditionalFormatting sqref="A79">
    <cfRule type="top10" dxfId="5" priority="25" rank="3"/>
  </conditionalFormatting>
  <conditionalFormatting sqref="A79:A85">
    <cfRule type="top10" dxfId="4" priority="20" rank="3"/>
    <cfRule type="top10" dxfId="3" priority="23" rank="3"/>
    <cfRule type="top10" dxfId="2" priority="24" rank="10"/>
  </conditionalFormatting>
  <conditionalFormatting pivot="1" sqref="B79:B85">
    <cfRule type="top10" dxfId="1" priority="17" rank="3"/>
  </conditionalFormatting>
  <conditionalFormatting pivot="1" sqref="B90:B96">
    <cfRule type="colorScale" priority="16">
      <colorScale>
        <cfvo type="min"/>
        <cfvo type="percentile" val="50"/>
        <cfvo type="max"/>
        <color rgb="FFF8696B"/>
        <color rgb="FFFFEB84"/>
        <color rgb="FF63BE7B"/>
      </colorScale>
    </cfRule>
  </conditionalFormatting>
  <conditionalFormatting pivot="1" sqref="C90:C96">
    <cfRule type="colorScale" priority="15">
      <colorScale>
        <cfvo type="min"/>
        <cfvo type="percentile" val="50"/>
        <cfvo type="max"/>
        <color rgb="FFF8696B"/>
        <color rgb="FFFFEB84"/>
        <color rgb="FF63BE7B"/>
      </colorScale>
    </cfRule>
  </conditionalFormatting>
  <conditionalFormatting pivot="1" sqref="D90:D96">
    <cfRule type="colorScale" priority="14">
      <colorScale>
        <cfvo type="min"/>
        <cfvo type="percentile" val="50"/>
        <cfvo type="max"/>
        <color rgb="FFF8696B"/>
        <color rgb="FFFFEB84"/>
        <color rgb="FF63BE7B"/>
      </colorScale>
    </cfRule>
  </conditionalFormatting>
  <conditionalFormatting sqref="A102:A108">
    <cfRule type="top10" dxfId="0" priority="10" rank="2"/>
  </conditionalFormatting>
  <conditionalFormatting pivot="1" sqref="C102:C108">
    <cfRule type="dataBar" priority="8">
      <dataBar>
        <cfvo type="min"/>
        <cfvo type="max"/>
        <color rgb="FF638EC6"/>
      </dataBar>
      <extLst>
        <ext xmlns:x14="http://schemas.microsoft.com/office/spreadsheetml/2009/9/main" uri="{B025F937-C7B1-47D3-B67F-A62EFF666E3E}">
          <x14:id>{AAA0ACC7-4248-439D-9316-893D32B4F0ED}</x14:id>
        </ext>
      </extLst>
    </cfRule>
  </conditionalFormatting>
  <conditionalFormatting pivot="1" sqref="C110:C116">
    <cfRule type="dataBar" priority="7">
      <dataBar>
        <cfvo type="min"/>
        <cfvo type="max"/>
        <color rgb="FF63C384"/>
      </dataBar>
      <extLst>
        <ext xmlns:x14="http://schemas.microsoft.com/office/spreadsheetml/2009/9/main" uri="{B025F937-C7B1-47D3-B67F-A62EFF666E3E}">
          <x14:id>{20E14EBD-82FC-4C34-8916-5AD0532CB7E1}</x14:id>
        </ext>
      </extLst>
    </cfRule>
  </conditionalFormatting>
  <pageMargins left="0.7" right="0.7" top="0.75" bottom="0.75" header="0.3" footer="0.3"/>
  <drawing r:id="rId7"/>
  <extLst>
    <ext xmlns:x14="http://schemas.microsoft.com/office/spreadsheetml/2009/9/main" uri="{78C0D931-6437-407d-A8EE-F0AAD7539E65}">
      <x14:conditionalFormattings>
        <x14:conditionalFormatting xmlns:xm="http://schemas.microsoft.com/office/excel/2006/main" pivot="1">
          <x14:cfRule type="dataBar" id="{AAA0ACC7-4248-439D-9316-893D32B4F0ED}">
            <x14:dataBar minLength="0" maxLength="100" border="1" negativeBarBorderColorSameAsPositive="0">
              <x14:cfvo type="autoMin"/>
              <x14:cfvo type="autoMax"/>
              <x14:borderColor rgb="FF638EC6"/>
              <x14:negativeFillColor rgb="FFFF0000"/>
              <x14:negativeBorderColor rgb="FFFF0000"/>
              <x14:axisColor rgb="FF000000"/>
            </x14:dataBar>
          </x14:cfRule>
          <xm:sqref>C102:C108</xm:sqref>
        </x14:conditionalFormatting>
        <x14:conditionalFormatting xmlns:xm="http://schemas.microsoft.com/office/excel/2006/main" pivot="1">
          <x14:cfRule type="dataBar" id="{20E14EBD-82FC-4C34-8916-5AD0532CB7E1}">
            <x14:dataBar minLength="0" maxLength="100" border="1" negativeBarBorderColorSameAsPositive="0">
              <x14:cfvo type="autoMin"/>
              <x14:cfvo type="autoMax"/>
              <x14:borderColor rgb="FF63C384"/>
              <x14:negativeFillColor rgb="FFFF0000"/>
              <x14:negativeBorderColor rgb="FFFF0000"/>
              <x14:axisColor rgb="FF000000"/>
            </x14:dataBar>
          </x14:cfRule>
          <xm:sqref>C110:C116</xm:sqref>
        </x14:conditionalFormatting>
      </x14:conditionalFormattings>
    </ex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AEB2E-7C35-499F-9CDA-9C88CEC501E8}">
  <dimension ref="A1:W28"/>
  <sheetViews>
    <sheetView tabSelected="1" workbookViewId="0">
      <selection activeCell="E4" sqref="E4"/>
    </sheetView>
  </sheetViews>
  <sheetFormatPr defaultRowHeight="14.4" x14ac:dyDescent="0.3"/>
  <cols>
    <col min="20" max="20" width="8.109375" customWidth="1"/>
  </cols>
  <sheetData>
    <row r="1" spans="1:23" x14ac:dyDescent="0.3">
      <c r="A1" s="15"/>
      <c r="B1" s="15"/>
      <c r="C1" s="15"/>
      <c r="D1" s="15"/>
      <c r="E1" s="15"/>
      <c r="F1" s="15"/>
      <c r="G1" s="15"/>
      <c r="H1" s="15"/>
      <c r="I1" s="15"/>
      <c r="J1" s="15"/>
      <c r="K1" s="15"/>
      <c r="L1" s="15"/>
      <c r="M1" s="15"/>
      <c r="N1" s="15"/>
      <c r="O1" s="15"/>
      <c r="P1" s="15"/>
      <c r="Q1" s="15"/>
      <c r="R1" s="15"/>
      <c r="S1" s="15"/>
      <c r="T1" s="15"/>
      <c r="U1" s="15"/>
      <c r="V1" s="15"/>
      <c r="W1" s="15"/>
    </row>
    <row r="2" spans="1:23" x14ac:dyDescent="0.3">
      <c r="A2" s="15"/>
      <c r="B2" s="15"/>
      <c r="C2" s="15"/>
      <c r="D2" s="15"/>
      <c r="E2" s="15"/>
      <c r="F2" s="15"/>
      <c r="G2" s="15"/>
      <c r="H2" s="15"/>
      <c r="I2" s="15"/>
      <c r="J2" s="15"/>
      <c r="K2" s="15"/>
      <c r="L2" s="15"/>
      <c r="M2" s="15"/>
      <c r="N2" s="15"/>
      <c r="O2" s="15"/>
      <c r="P2" s="15"/>
      <c r="Q2" s="15"/>
      <c r="R2" s="15"/>
      <c r="S2" s="15"/>
      <c r="T2" s="15"/>
      <c r="U2" s="15"/>
      <c r="V2" s="15"/>
      <c r="W2" s="15"/>
    </row>
    <row r="3" spans="1:23" x14ac:dyDescent="0.3">
      <c r="A3" s="15"/>
      <c r="B3" s="15"/>
      <c r="C3" s="15"/>
      <c r="D3" s="15"/>
      <c r="E3" s="15"/>
      <c r="F3" s="15"/>
      <c r="G3" s="15"/>
      <c r="H3" s="15"/>
      <c r="I3" s="15"/>
      <c r="J3" s="15"/>
      <c r="K3" s="15"/>
      <c r="L3" s="15"/>
      <c r="M3" s="15"/>
      <c r="N3" s="15"/>
      <c r="O3" s="15"/>
      <c r="P3" s="15"/>
      <c r="Q3" s="15"/>
      <c r="R3" s="15"/>
      <c r="S3" s="15"/>
      <c r="T3" s="15"/>
      <c r="U3" s="15"/>
      <c r="V3" s="15"/>
      <c r="W3" s="15"/>
    </row>
    <row r="4" spans="1:23" x14ac:dyDescent="0.3">
      <c r="A4" s="15"/>
      <c r="B4" s="15"/>
      <c r="C4" s="15"/>
      <c r="D4" s="15">
        <f>SUM(Pivots!C101)</f>
        <v>7382</v>
      </c>
      <c r="E4" s="15"/>
      <c r="F4" s="15"/>
      <c r="G4" s="15"/>
      <c r="H4" s="15"/>
      <c r="I4" s="15"/>
      <c r="J4" s="15"/>
      <c r="K4" s="15"/>
      <c r="L4" s="15"/>
      <c r="M4" s="15"/>
      <c r="N4" s="15"/>
      <c r="O4" s="15"/>
      <c r="P4" s="15"/>
      <c r="Q4" s="15"/>
      <c r="R4" s="15"/>
      <c r="S4" s="15"/>
      <c r="T4" s="15"/>
      <c r="U4" s="15"/>
      <c r="V4" s="15"/>
      <c r="W4" s="15"/>
    </row>
    <row r="5" spans="1:23" x14ac:dyDescent="0.3">
      <c r="A5" s="15"/>
      <c r="B5" s="15"/>
      <c r="C5" s="15"/>
      <c r="D5" s="15"/>
      <c r="E5" s="15"/>
      <c r="F5" s="15"/>
      <c r="G5" s="15"/>
      <c r="H5" s="15"/>
      <c r="I5" s="15"/>
      <c r="J5" s="15"/>
      <c r="K5" s="15"/>
      <c r="L5" s="15"/>
      <c r="M5" s="15"/>
      <c r="N5" s="15"/>
      <c r="O5" s="15"/>
      <c r="P5" s="15"/>
      <c r="Q5" s="15"/>
      <c r="R5" s="15"/>
      <c r="S5" s="15"/>
      <c r="T5" s="15"/>
      <c r="U5" s="15"/>
      <c r="V5" s="15"/>
      <c r="W5" s="15"/>
    </row>
    <row r="6" spans="1:23" x14ac:dyDescent="0.3">
      <c r="A6" s="15"/>
      <c r="B6" s="15"/>
      <c r="C6" s="15"/>
      <c r="D6" s="15"/>
      <c r="E6" s="15"/>
      <c r="F6" s="15"/>
      <c r="G6" s="15"/>
      <c r="H6" s="15"/>
      <c r="I6" s="15"/>
      <c r="J6" s="15"/>
      <c r="K6" s="15"/>
      <c r="L6" s="15"/>
      <c r="M6" s="15"/>
      <c r="N6" s="15"/>
      <c r="O6" s="15"/>
      <c r="P6" s="15"/>
      <c r="Q6" s="15"/>
      <c r="R6" s="15"/>
      <c r="S6" s="15"/>
      <c r="T6" s="15"/>
      <c r="U6" s="15"/>
      <c r="V6" s="15"/>
      <c r="W6" s="15"/>
    </row>
    <row r="7" spans="1:23" x14ac:dyDescent="0.3">
      <c r="A7" s="15"/>
      <c r="B7" s="15"/>
      <c r="C7" s="15"/>
      <c r="D7" s="15"/>
      <c r="E7" s="15"/>
      <c r="F7" s="15"/>
      <c r="G7" s="15"/>
      <c r="H7" s="15"/>
      <c r="I7" s="15"/>
      <c r="J7" s="15"/>
      <c r="K7" s="15"/>
      <c r="L7" s="15"/>
      <c r="M7" s="15"/>
      <c r="N7" s="15"/>
      <c r="O7" s="15"/>
      <c r="P7" s="15"/>
      <c r="Q7" s="15"/>
      <c r="R7" s="15"/>
      <c r="S7" s="15"/>
      <c r="T7" s="15"/>
      <c r="U7" s="15"/>
      <c r="V7" s="15"/>
      <c r="W7" s="15"/>
    </row>
    <row r="8" spans="1:23" x14ac:dyDescent="0.3">
      <c r="A8" s="15"/>
      <c r="B8" s="15"/>
      <c r="C8" s="15"/>
      <c r="D8" s="15"/>
      <c r="E8" s="15"/>
      <c r="F8" s="15"/>
      <c r="G8" s="15"/>
      <c r="H8" s="15"/>
      <c r="I8" s="15"/>
      <c r="J8" s="15"/>
      <c r="K8" s="15"/>
      <c r="L8" s="15"/>
      <c r="M8" s="15"/>
      <c r="N8" s="15"/>
      <c r="O8" s="15"/>
      <c r="P8" s="15"/>
      <c r="Q8" s="15"/>
      <c r="R8" s="15"/>
      <c r="S8" s="15"/>
      <c r="T8" s="15"/>
      <c r="U8" s="15"/>
      <c r="V8" s="15"/>
      <c r="W8" s="15"/>
    </row>
    <row r="9" spans="1:23" x14ac:dyDescent="0.3">
      <c r="A9" s="15"/>
      <c r="B9" s="15"/>
      <c r="C9" s="15"/>
      <c r="D9" s="15"/>
      <c r="E9" s="15"/>
      <c r="F9" s="15"/>
      <c r="G9" s="15"/>
      <c r="H9" s="15"/>
      <c r="I9" s="15"/>
      <c r="J9" s="15"/>
      <c r="K9" s="15"/>
      <c r="L9" s="15"/>
      <c r="M9" s="15"/>
      <c r="N9" s="15"/>
      <c r="O9" s="15"/>
      <c r="P9" s="15"/>
      <c r="Q9" s="15"/>
      <c r="R9" s="15"/>
      <c r="S9" s="15"/>
      <c r="T9" s="15"/>
      <c r="U9" s="15"/>
      <c r="V9" s="15"/>
      <c r="W9" s="15"/>
    </row>
    <row r="10" spans="1:23" x14ac:dyDescent="0.3">
      <c r="A10" s="15"/>
      <c r="B10" s="15"/>
      <c r="C10" s="15"/>
      <c r="D10" s="15"/>
      <c r="E10" s="15"/>
      <c r="F10" s="15"/>
      <c r="G10" s="15"/>
      <c r="H10" s="15"/>
      <c r="I10" s="15"/>
      <c r="J10" s="15"/>
      <c r="K10" s="15"/>
      <c r="L10" s="15"/>
      <c r="M10" s="15"/>
      <c r="N10" s="15"/>
      <c r="O10" s="15"/>
      <c r="P10" s="15"/>
      <c r="Q10" s="15"/>
      <c r="R10" s="15"/>
      <c r="S10" s="15"/>
      <c r="T10" s="15"/>
      <c r="U10" s="15"/>
      <c r="V10" s="15"/>
      <c r="W10" s="15"/>
    </row>
    <row r="11" spans="1:23" x14ac:dyDescent="0.3">
      <c r="A11" s="15"/>
      <c r="B11" s="15"/>
      <c r="C11" s="15"/>
      <c r="D11" s="15"/>
      <c r="E11" s="15"/>
      <c r="F11" s="15"/>
      <c r="G11" s="15"/>
      <c r="H11" s="15"/>
      <c r="I11" s="15"/>
      <c r="J11" s="15"/>
      <c r="K11" s="15"/>
      <c r="L11" s="15"/>
      <c r="M11" s="15"/>
      <c r="N11" s="15"/>
      <c r="O11" s="15"/>
      <c r="P11" s="15"/>
      <c r="Q11" s="15"/>
      <c r="R11" s="15"/>
      <c r="S11" s="15"/>
      <c r="T11" s="15"/>
      <c r="U11" s="15"/>
      <c r="V11" s="15"/>
      <c r="W11" s="15"/>
    </row>
    <row r="12" spans="1:23" x14ac:dyDescent="0.3">
      <c r="A12" s="15"/>
      <c r="B12" s="15"/>
      <c r="C12" s="15"/>
      <c r="D12" s="15"/>
      <c r="E12" s="15"/>
      <c r="F12" s="15"/>
      <c r="G12" s="15"/>
      <c r="H12" s="15"/>
      <c r="I12" s="15"/>
      <c r="J12" s="15"/>
      <c r="K12" s="15"/>
      <c r="L12" s="15"/>
      <c r="M12" s="15"/>
      <c r="N12" s="15"/>
      <c r="O12" s="15"/>
      <c r="P12" s="15"/>
      <c r="Q12" s="15"/>
      <c r="R12" s="15"/>
      <c r="S12" s="15"/>
      <c r="T12" s="15"/>
      <c r="U12" s="15"/>
      <c r="V12" s="15"/>
      <c r="W12" s="15"/>
    </row>
    <row r="13" spans="1:23" x14ac:dyDescent="0.3">
      <c r="A13" s="15"/>
      <c r="B13" s="15"/>
      <c r="C13" s="15"/>
      <c r="D13" s="15"/>
      <c r="E13" s="15"/>
      <c r="F13" s="15"/>
      <c r="G13" s="15"/>
      <c r="H13" s="15"/>
      <c r="I13" s="15"/>
      <c r="J13" s="15"/>
      <c r="K13" s="15"/>
      <c r="L13" s="15"/>
      <c r="M13" s="15"/>
      <c r="N13" s="15"/>
      <c r="O13" s="15"/>
      <c r="P13" s="15"/>
      <c r="Q13" s="15"/>
      <c r="R13" s="15"/>
      <c r="S13" s="15"/>
      <c r="T13" s="15"/>
      <c r="U13" s="15"/>
      <c r="V13" s="15"/>
      <c r="W13" s="15"/>
    </row>
    <row r="14" spans="1:23" x14ac:dyDescent="0.3">
      <c r="A14" s="15"/>
      <c r="B14" s="15"/>
      <c r="C14" s="15"/>
      <c r="D14" s="15"/>
      <c r="E14" s="15"/>
      <c r="F14" s="15"/>
      <c r="G14" s="15"/>
      <c r="H14" s="15"/>
      <c r="I14" s="15"/>
      <c r="J14" s="15"/>
      <c r="K14" s="15"/>
      <c r="L14" s="15"/>
      <c r="M14" s="15"/>
      <c r="N14" s="15"/>
      <c r="O14" s="15"/>
      <c r="P14" s="15"/>
      <c r="Q14" s="15"/>
      <c r="R14" s="15"/>
      <c r="S14" s="15"/>
      <c r="T14" s="15"/>
      <c r="U14" s="15"/>
      <c r="V14" s="15"/>
      <c r="W14" s="15"/>
    </row>
    <row r="15" spans="1:23" x14ac:dyDescent="0.3">
      <c r="A15" s="15"/>
      <c r="B15" s="15"/>
      <c r="C15" s="15"/>
      <c r="D15" s="15"/>
      <c r="E15" s="15"/>
      <c r="F15" s="15"/>
      <c r="G15" s="15"/>
      <c r="H15" s="15"/>
      <c r="I15" s="15"/>
      <c r="J15" s="15"/>
      <c r="K15" s="15"/>
      <c r="L15" s="15"/>
      <c r="M15" s="15"/>
      <c r="N15" s="15"/>
      <c r="O15" s="15"/>
      <c r="P15" s="15"/>
      <c r="Q15" s="15"/>
      <c r="R15" s="15"/>
      <c r="S15" s="15"/>
      <c r="T15" s="15"/>
      <c r="U15" s="15"/>
      <c r="V15" s="15"/>
      <c r="W15" s="15"/>
    </row>
    <row r="16" spans="1:23" x14ac:dyDescent="0.3">
      <c r="A16" s="15"/>
      <c r="B16" s="15"/>
      <c r="C16" s="15"/>
      <c r="D16" s="15"/>
      <c r="E16" s="15"/>
      <c r="F16" s="15"/>
      <c r="G16" s="15"/>
      <c r="H16" s="15"/>
      <c r="I16" s="15"/>
      <c r="J16" s="15"/>
      <c r="K16" s="15"/>
      <c r="L16" s="15"/>
      <c r="M16" s="15"/>
      <c r="N16" s="15"/>
      <c r="O16" s="15"/>
      <c r="P16" s="15"/>
      <c r="Q16" s="15"/>
      <c r="R16" s="15"/>
      <c r="S16" s="15"/>
      <c r="T16" s="15"/>
      <c r="U16" s="15"/>
      <c r="V16" s="15"/>
      <c r="W16" s="15"/>
    </row>
    <row r="17" spans="1:23" x14ac:dyDescent="0.3">
      <c r="A17" s="15"/>
      <c r="B17" s="15"/>
      <c r="C17" s="15"/>
      <c r="D17" s="15"/>
      <c r="E17" s="15"/>
      <c r="F17" s="15"/>
      <c r="G17" s="15"/>
      <c r="H17" s="15"/>
      <c r="I17" s="15"/>
      <c r="J17" s="15"/>
      <c r="K17" s="15"/>
      <c r="L17" s="15"/>
      <c r="M17" s="15"/>
      <c r="N17" s="15"/>
      <c r="O17" s="15"/>
      <c r="P17" s="15"/>
      <c r="Q17" s="15"/>
      <c r="R17" s="15"/>
      <c r="S17" s="15"/>
      <c r="T17" s="15"/>
      <c r="U17" s="15"/>
      <c r="V17" s="15"/>
      <c r="W17" s="15"/>
    </row>
    <row r="18" spans="1:23" x14ac:dyDescent="0.3">
      <c r="A18" s="15"/>
      <c r="B18" s="15"/>
      <c r="C18" s="15"/>
      <c r="D18" s="15"/>
      <c r="E18" s="15"/>
      <c r="F18" s="15"/>
      <c r="G18" s="15"/>
      <c r="H18" s="15"/>
      <c r="I18" s="15"/>
      <c r="J18" s="15"/>
      <c r="K18" s="15"/>
      <c r="L18" s="15"/>
      <c r="M18" s="15"/>
      <c r="N18" s="15"/>
      <c r="O18" s="15"/>
      <c r="P18" s="15"/>
      <c r="Q18" s="15"/>
      <c r="R18" s="15"/>
      <c r="S18" s="15"/>
      <c r="T18" s="15"/>
      <c r="U18" s="15"/>
      <c r="V18" s="15"/>
      <c r="W18" s="15"/>
    </row>
    <row r="19" spans="1:23" x14ac:dyDescent="0.3">
      <c r="A19" s="15"/>
      <c r="B19" s="15"/>
      <c r="C19" s="15"/>
      <c r="D19" s="15"/>
      <c r="E19" s="15"/>
      <c r="F19" s="15"/>
      <c r="G19" s="15"/>
      <c r="H19" s="15"/>
      <c r="I19" s="15"/>
      <c r="J19" s="15"/>
      <c r="K19" s="15"/>
      <c r="L19" s="15"/>
      <c r="M19" s="15"/>
      <c r="N19" s="15"/>
      <c r="O19" s="15"/>
      <c r="P19" s="15"/>
      <c r="Q19" s="15"/>
      <c r="R19" s="15"/>
      <c r="S19" s="15"/>
      <c r="T19" s="15"/>
      <c r="U19" s="15"/>
      <c r="V19" s="15"/>
      <c r="W19" s="15"/>
    </row>
    <row r="20" spans="1:23" x14ac:dyDescent="0.3">
      <c r="A20" s="15"/>
      <c r="B20" s="15"/>
      <c r="C20" s="15"/>
      <c r="D20" s="15"/>
      <c r="E20" s="15"/>
      <c r="F20" s="15"/>
      <c r="G20" s="15"/>
      <c r="H20" s="15"/>
      <c r="I20" s="15"/>
      <c r="J20" s="15"/>
      <c r="K20" s="15"/>
      <c r="L20" s="15"/>
      <c r="M20" s="15"/>
      <c r="N20" s="15"/>
      <c r="O20" s="15"/>
      <c r="P20" s="15"/>
      <c r="Q20" s="15"/>
      <c r="R20" s="15"/>
      <c r="S20" s="15"/>
      <c r="T20" s="15"/>
      <c r="U20" s="15"/>
      <c r="V20" s="15"/>
      <c r="W20" s="15"/>
    </row>
    <row r="21" spans="1:23" x14ac:dyDescent="0.3">
      <c r="A21" s="15"/>
      <c r="B21" s="15"/>
      <c r="C21" s="15"/>
      <c r="D21" s="15"/>
      <c r="E21" s="15"/>
      <c r="F21" s="15"/>
      <c r="G21" s="15"/>
      <c r="H21" s="15"/>
      <c r="I21" s="15"/>
      <c r="J21" s="15"/>
      <c r="K21" s="15"/>
      <c r="L21" s="15"/>
      <c r="M21" s="15"/>
      <c r="N21" s="15"/>
      <c r="O21" s="15"/>
      <c r="P21" s="15"/>
      <c r="Q21" s="15"/>
      <c r="R21" s="15"/>
      <c r="S21" s="15"/>
      <c r="T21" s="15"/>
      <c r="U21" s="15"/>
      <c r="V21" s="15"/>
      <c r="W21" s="15"/>
    </row>
    <row r="22" spans="1:23" x14ac:dyDescent="0.3">
      <c r="A22" s="15"/>
      <c r="B22" s="15"/>
      <c r="C22" s="15"/>
      <c r="D22" s="15"/>
      <c r="E22" s="15"/>
      <c r="F22" s="15"/>
      <c r="G22" s="15"/>
      <c r="H22" s="15"/>
      <c r="I22" s="15"/>
      <c r="J22" s="15"/>
      <c r="K22" s="15"/>
      <c r="L22" s="15"/>
      <c r="M22" s="15"/>
      <c r="N22" s="15"/>
      <c r="O22" s="15"/>
      <c r="P22" s="15"/>
      <c r="Q22" s="15"/>
      <c r="R22" s="15"/>
      <c r="S22" s="15"/>
      <c r="T22" s="15"/>
      <c r="U22" s="15"/>
      <c r="V22" s="15"/>
      <c r="W22" s="15"/>
    </row>
    <row r="23" spans="1:23" x14ac:dyDescent="0.3">
      <c r="A23" s="15"/>
      <c r="B23" s="15"/>
      <c r="C23" s="15"/>
      <c r="D23" s="15"/>
      <c r="E23" s="15"/>
      <c r="F23" s="15"/>
      <c r="G23" s="15"/>
      <c r="H23" s="15"/>
      <c r="I23" s="15"/>
      <c r="J23" s="15"/>
      <c r="K23" s="15"/>
      <c r="L23" s="15"/>
      <c r="M23" s="15"/>
      <c r="N23" s="15"/>
      <c r="O23" s="15"/>
      <c r="P23" s="15"/>
      <c r="Q23" s="15"/>
      <c r="R23" s="15"/>
      <c r="S23" s="15"/>
      <c r="T23" s="15"/>
      <c r="U23" s="15"/>
      <c r="V23" s="15"/>
      <c r="W23" s="15"/>
    </row>
    <row r="24" spans="1:23" x14ac:dyDescent="0.3">
      <c r="A24" s="15"/>
      <c r="B24" s="15"/>
      <c r="C24" s="15"/>
      <c r="D24" s="15"/>
      <c r="E24" s="15"/>
      <c r="F24" s="15"/>
      <c r="G24" s="15"/>
      <c r="H24" s="15"/>
      <c r="I24" s="15"/>
      <c r="J24" s="15"/>
      <c r="K24" s="15"/>
      <c r="L24" s="15"/>
      <c r="M24" s="15"/>
      <c r="N24" s="15"/>
      <c r="O24" s="15"/>
      <c r="P24" s="15"/>
      <c r="Q24" s="15"/>
      <c r="R24" s="15"/>
      <c r="S24" s="15"/>
      <c r="T24" s="15"/>
      <c r="U24" s="15"/>
      <c r="V24" s="15"/>
      <c r="W24" s="15"/>
    </row>
    <row r="25" spans="1:23" x14ac:dyDescent="0.3">
      <c r="A25" s="15"/>
      <c r="B25" s="15"/>
      <c r="C25" s="15"/>
      <c r="D25" s="15"/>
      <c r="E25" s="15"/>
      <c r="F25" s="15"/>
      <c r="G25" s="15"/>
      <c r="H25" s="15"/>
      <c r="I25" s="15"/>
      <c r="J25" s="15"/>
      <c r="K25" s="15"/>
      <c r="L25" s="15"/>
      <c r="M25" s="15"/>
      <c r="N25" s="15"/>
      <c r="O25" s="15"/>
      <c r="P25" s="15"/>
      <c r="Q25" s="15"/>
      <c r="R25" s="15"/>
      <c r="S25" s="15"/>
      <c r="T25" s="15"/>
      <c r="U25" s="15"/>
      <c r="V25" s="15"/>
      <c r="W25" s="15"/>
    </row>
    <row r="26" spans="1:23" x14ac:dyDescent="0.3">
      <c r="A26" s="15"/>
      <c r="B26" s="15"/>
      <c r="C26" s="15"/>
      <c r="D26" s="15"/>
      <c r="E26" s="15"/>
      <c r="F26" s="15"/>
      <c r="G26" s="15"/>
      <c r="H26" s="15"/>
      <c r="I26" s="15"/>
      <c r="J26" s="15"/>
      <c r="K26" s="15"/>
      <c r="L26" s="15"/>
      <c r="M26" s="15"/>
      <c r="N26" s="15"/>
      <c r="O26" s="15"/>
      <c r="P26" s="15"/>
      <c r="Q26" s="15"/>
      <c r="R26" s="15"/>
      <c r="S26" s="15"/>
      <c r="T26" s="15"/>
      <c r="U26" s="15"/>
      <c r="V26" s="15"/>
      <c r="W26" s="15"/>
    </row>
    <row r="27" spans="1:23" x14ac:dyDescent="0.3">
      <c r="A27" s="15"/>
      <c r="B27" s="15"/>
      <c r="C27" s="15"/>
      <c r="D27" s="15"/>
      <c r="E27" s="15"/>
      <c r="F27" s="15"/>
      <c r="G27" s="15"/>
      <c r="H27" s="15"/>
      <c r="I27" s="15"/>
      <c r="J27" s="15"/>
      <c r="K27" s="15"/>
      <c r="L27" s="15"/>
      <c r="M27" s="15"/>
      <c r="N27" s="15"/>
      <c r="O27" s="15"/>
      <c r="P27" s="15"/>
      <c r="Q27" s="15"/>
      <c r="R27" s="15"/>
      <c r="S27" s="15"/>
      <c r="T27" s="15"/>
      <c r="U27" s="15"/>
      <c r="V27" s="15"/>
      <c r="W27" s="15"/>
    </row>
    <row r="28" spans="1:23" x14ac:dyDescent="0.3">
      <c r="A28" s="15"/>
      <c r="B28" s="15"/>
      <c r="C28" s="15"/>
      <c r="D28" s="15"/>
      <c r="E28" s="15"/>
      <c r="F28" s="15"/>
      <c r="G28" s="15"/>
      <c r="H28" s="15"/>
      <c r="I28" s="15"/>
      <c r="J28" s="15"/>
      <c r="K28" s="15"/>
      <c r="L28" s="15"/>
      <c r="M28" s="15"/>
      <c r="N28" s="15"/>
      <c r="O28" s="15"/>
      <c r="P28" s="15"/>
      <c r="Q28" s="15"/>
      <c r="R28" s="15"/>
      <c r="S28" s="15"/>
      <c r="T28" s="15"/>
      <c r="U28" s="15"/>
      <c r="V28" s="15"/>
      <c r="W28"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00F-A74A-407C-997D-03C3CFE45E4B}">
  <dimension ref="A1:L51"/>
  <sheetViews>
    <sheetView topLeftCell="A10" workbookViewId="0">
      <selection activeCell="B37" sqref="B37"/>
    </sheetView>
  </sheetViews>
  <sheetFormatPr defaultRowHeight="14.4" x14ac:dyDescent="0.3"/>
  <cols>
    <col min="1" max="1" width="9.109375" bestFit="1" customWidth="1"/>
    <col min="2" max="2" width="10.5546875" bestFit="1" customWidth="1"/>
    <col min="3" max="3" width="11.44140625" bestFit="1" customWidth="1"/>
    <col min="4" max="4" width="12.6640625" bestFit="1" customWidth="1"/>
    <col min="5" max="5" width="7.33203125" bestFit="1" customWidth="1"/>
    <col min="6" max="6" width="12.33203125" bestFit="1" customWidth="1"/>
    <col min="7" max="7" width="8.77734375" bestFit="1" customWidth="1"/>
    <col min="8" max="8" width="10.33203125" bestFit="1" customWidth="1"/>
    <col min="9" max="9" width="20.44140625" customWidth="1"/>
    <col min="10" max="10" width="17.77734375" customWidth="1"/>
    <col min="11" max="11" width="12.5546875" customWidth="1"/>
    <col min="12" max="12" width="14.33203125" customWidth="1"/>
  </cols>
  <sheetData>
    <row r="1" spans="1:12" x14ac:dyDescent="0.3">
      <c r="A1" t="s">
        <v>0</v>
      </c>
      <c r="B1" t="s">
        <v>1</v>
      </c>
      <c r="C1" t="s">
        <v>2</v>
      </c>
      <c r="D1" t="s">
        <v>3</v>
      </c>
      <c r="E1" t="s">
        <v>4</v>
      </c>
      <c r="F1" t="s">
        <v>5</v>
      </c>
      <c r="G1" t="s">
        <v>6</v>
      </c>
      <c r="H1" t="s">
        <v>7</v>
      </c>
      <c r="I1" t="s">
        <v>17</v>
      </c>
      <c r="J1" t="s">
        <v>18</v>
      </c>
      <c r="K1" t="s">
        <v>19</v>
      </c>
      <c r="L1" t="s">
        <v>35</v>
      </c>
    </row>
    <row r="2" spans="1:12" x14ac:dyDescent="0.3">
      <c r="A2">
        <v>1</v>
      </c>
      <c r="B2" t="s">
        <v>8</v>
      </c>
      <c r="C2" t="s">
        <v>9</v>
      </c>
      <c r="D2" t="s">
        <v>10</v>
      </c>
      <c r="E2">
        <v>150</v>
      </c>
      <c r="F2">
        <v>20</v>
      </c>
      <c r="G2">
        <v>5</v>
      </c>
      <c r="H2" s="1">
        <v>45901</v>
      </c>
      <c r="I2">
        <f>SUM(Dataset[[#This Row],[Likes]:[Shares]])</f>
        <v>175</v>
      </c>
      <c r="J2" t="str">
        <f>TEXT(Dataset[[#This Row],[Date]],"mmm-yyyy")</f>
        <v>Sep-2025</v>
      </c>
      <c r="K2">
        <f>WEEKNUM(Dataset[[#This Row],[Date]], 2)</f>
        <v>36</v>
      </c>
      <c r="L2" t="str">
        <f>TEXT(Dataset[[#This Row],[Date]],"dddd")</f>
        <v>Monday</v>
      </c>
    </row>
    <row r="3" spans="1:12" x14ac:dyDescent="0.3">
      <c r="A3">
        <v>2</v>
      </c>
      <c r="B3" t="s">
        <v>8</v>
      </c>
      <c r="C3" t="s">
        <v>9</v>
      </c>
      <c r="D3" t="s">
        <v>11</v>
      </c>
      <c r="E3">
        <v>200</v>
      </c>
      <c r="F3">
        <v>30</v>
      </c>
      <c r="G3">
        <v>10</v>
      </c>
      <c r="H3" s="1">
        <v>45902</v>
      </c>
      <c r="I3">
        <f>SUM(Dataset[[#This Row],[Likes]:[Shares]])</f>
        <v>240</v>
      </c>
      <c r="J3" t="str">
        <f>TEXT(Dataset[[#This Row],[Date]],"mmm-yyyy")</f>
        <v>Sep-2025</v>
      </c>
      <c r="K3">
        <f>WEEKNUM(Dataset[[#This Row],[Date]], 2)</f>
        <v>36</v>
      </c>
      <c r="L3" t="str">
        <f>TEXT(Dataset[[#This Row],[Date]],"dddd")</f>
        <v>Tuesday</v>
      </c>
    </row>
    <row r="4" spans="1:12" x14ac:dyDescent="0.3">
      <c r="A4">
        <v>3</v>
      </c>
      <c r="B4" t="s">
        <v>8</v>
      </c>
      <c r="C4" t="s">
        <v>9</v>
      </c>
      <c r="D4" t="s">
        <v>12</v>
      </c>
      <c r="E4">
        <v>100</v>
      </c>
      <c r="F4">
        <v>15</v>
      </c>
      <c r="G4">
        <v>3</v>
      </c>
      <c r="H4" s="1">
        <v>45903</v>
      </c>
      <c r="I4">
        <f>SUM(Dataset[[#This Row],[Likes]:[Shares]])</f>
        <v>118</v>
      </c>
      <c r="J4" t="str">
        <f>TEXT(Dataset[[#This Row],[Date]],"mmm-yyyy")</f>
        <v>Sep-2025</v>
      </c>
      <c r="K4">
        <f>WEEKNUM(Dataset[[#This Row],[Date]], 2)</f>
        <v>36</v>
      </c>
      <c r="L4" t="str">
        <f>TEXT(Dataset[[#This Row],[Date]],"dddd")</f>
        <v>Wednesday</v>
      </c>
    </row>
    <row r="5" spans="1:12" x14ac:dyDescent="0.3">
      <c r="A5">
        <v>4</v>
      </c>
      <c r="B5" t="s">
        <v>8</v>
      </c>
      <c r="C5" t="s">
        <v>9</v>
      </c>
      <c r="D5" t="s">
        <v>13</v>
      </c>
      <c r="E5">
        <v>180</v>
      </c>
      <c r="F5">
        <v>25</v>
      </c>
      <c r="G5">
        <v>8</v>
      </c>
      <c r="H5" s="1">
        <v>45904</v>
      </c>
      <c r="I5">
        <f>SUM(Dataset[[#This Row],[Likes]:[Shares]])</f>
        <v>213</v>
      </c>
      <c r="J5" t="str">
        <f>TEXT(Dataset[[#This Row],[Date]],"mmm-yyyy")</f>
        <v>Sep-2025</v>
      </c>
      <c r="K5">
        <f>WEEKNUM(Dataset[[#This Row],[Date]], 2)</f>
        <v>36</v>
      </c>
      <c r="L5" t="str">
        <f>TEXT(Dataset[[#This Row],[Date]],"dddd")</f>
        <v>Thursday</v>
      </c>
    </row>
    <row r="6" spans="1:12" x14ac:dyDescent="0.3">
      <c r="A6">
        <v>5</v>
      </c>
      <c r="B6" t="s">
        <v>8</v>
      </c>
      <c r="C6" t="s">
        <v>9</v>
      </c>
      <c r="D6" t="s">
        <v>14</v>
      </c>
      <c r="E6">
        <v>220</v>
      </c>
      <c r="F6">
        <v>40</v>
      </c>
      <c r="G6">
        <v>12</v>
      </c>
      <c r="H6" s="1">
        <v>45905</v>
      </c>
      <c r="I6">
        <f>SUM(Dataset[[#This Row],[Likes]:[Shares]])</f>
        <v>272</v>
      </c>
      <c r="J6" t="str">
        <f>TEXT(Dataset[[#This Row],[Date]],"mmm-yyyy")</f>
        <v>Sep-2025</v>
      </c>
      <c r="K6">
        <f>WEEKNUM(Dataset[[#This Row],[Date]], 2)</f>
        <v>36</v>
      </c>
      <c r="L6" t="str">
        <f>TEXT(Dataset[[#This Row],[Date]],"dddd")</f>
        <v>Friday</v>
      </c>
    </row>
    <row r="7" spans="1:12" x14ac:dyDescent="0.3">
      <c r="A7">
        <v>6</v>
      </c>
      <c r="B7" t="s">
        <v>8</v>
      </c>
      <c r="C7" t="s">
        <v>9</v>
      </c>
      <c r="D7" t="s">
        <v>15</v>
      </c>
      <c r="E7">
        <v>300</v>
      </c>
      <c r="F7">
        <v>50</v>
      </c>
      <c r="G7">
        <v>15</v>
      </c>
      <c r="H7" s="1">
        <v>45906</v>
      </c>
      <c r="I7">
        <f>SUM(Dataset[[#This Row],[Likes]:[Shares]])</f>
        <v>365</v>
      </c>
      <c r="J7" t="str">
        <f>TEXT(Dataset[[#This Row],[Date]],"mmm-yyyy")</f>
        <v>Sep-2025</v>
      </c>
      <c r="K7">
        <f>WEEKNUM(Dataset[[#This Row],[Date]], 2)</f>
        <v>36</v>
      </c>
      <c r="L7" t="str">
        <f>TEXT(Dataset[[#This Row],[Date]],"dddd")</f>
        <v>Saturday</v>
      </c>
    </row>
    <row r="8" spans="1:12" x14ac:dyDescent="0.3">
      <c r="A8">
        <v>7</v>
      </c>
      <c r="B8" t="s">
        <v>8</v>
      </c>
      <c r="C8" t="s">
        <v>9</v>
      </c>
      <c r="D8" t="s">
        <v>16</v>
      </c>
      <c r="E8">
        <v>250</v>
      </c>
      <c r="F8">
        <v>35</v>
      </c>
      <c r="G8">
        <v>10</v>
      </c>
      <c r="H8" s="1">
        <v>45907</v>
      </c>
      <c r="I8">
        <f>SUM(Dataset[[#This Row],[Likes]:[Shares]])</f>
        <v>295</v>
      </c>
      <c r="J8" t="str">
        <f>TEXT(Dataset[[#This Row],[Date]],"mmm-yyyy")</f>
        <v>Sep-2025</v>
      </c>
      <c r="K8">
        <f>WEEKNUM(Dataset[[#This Row],[Date]], 2)</f>
        <v>36</v>
      </c>
      <c r="L8" t="str">
        <f>TEXT(Dataset[[#This Row],[Date]],"dddd")</f>
        <v>Sunday</v>
      </c>
    </row>
    <row r="9" spans="1:12" x14ac:dyDescent="0.3">
      <c r="A9">
        <v>8</v>
      </c>
      <c r="B9" t="s">
        <v>8</v>
      </c>
      <c r="C9" t="s">
        <v>9</v>
      </c>
      <c r="D9" t="s">
        <v>10</v>
      </c>
      <c r="E9">
        <v>170</v>
      </c>
      <c r="F9">
        <v>22</v>
      </c>
      <c r="G9">
        <v>6</v>
      </c>
      <c r="H9" s="1">
        <v>45908</v>
      </c>
      <c r="I9">
        <f>SUM(Dataset[[#This Row],[Likes]:[Shares]])</f>
        <v>198</v>
      </c>
      <c r="J9" t="str">
        <f>TEXT(Dataset[[#This Row],[Date]],"mmm-yyyy")</f>
        <v>Sep-2025</v>
      </c>
      <c r="K9">
        <f>WEEKNUM(Dataset[[#This Row],[Date]], 2)</f>
        <v>37</v>
      </c>
      <c r="L9" t="str">
        <f>TEXT(Dataset[[#This Row],[Date]],"dddd")</f>
        <v>Monday</v>
      </c>
    </row>
    <row r="10" spans="1:12" x14ac:dyDescent="0.3">
      <c r="A10">
        <v>9</v>
      </c>
      <c r="B10" t="s">
        <v>8</v>
      </c>
      <c r="C10" t="s">
        <v>9</v>
      </c>
      <c r="D10" t="s">
        <v>11</v>
      </c>
      <c r="E10">
        <v>190</v>
      </c>
      <c r="F10">
        <v>28</v>
      </c>
      <c r="G10">
        <v>9</v>
      </c>
      <c r="H10" s="1">
        <v>45909</v>
      </c>
      <c r="I10">
        <f>SUM(Dataset[[#This Row],[Likes]:[Shares]])</f>
        <v>227</v>
      </c>
      <c r="J10" t="str">
        <f>TEXT(Dataset[[#This Row],[Date]],"mmm-yyyy")</f>
        <v>Sep-2025</v>
      </c>
      <c r="K10">
        <f>WEEKNUM(Dataset[[#This Row],[Date]], 2)</f>
        <v>37</v>
      </c>
      <c r="L10" t="str">
        <f>TEXT(Dataset[[#This Row],[Date]],"dddd")</f>
        <v>Tuesday</v>
      </c>
    </row>
    <row r="11" spans="1:12" x14ac:dyDescent="0.3">
      <c r="A11">
        <v>10</v>
      </c>
      <c r="B11" t="s">
        <v>8</v>
      </c>
      <c r="C11" t="s">
        <v>9</v>
      </c>
      <c r="D11" t="s">
        <v>12</v>
      </c>
      <c r="E11">
        <v>120</v>
      </c>
      <c r="F11">
        <v>18</v>
      </c>
      <c r="G11">
        <v>4</v>
      </c>
      <c r="H11" s="1">
        <v>45910</v>
      </c>
      <c r="I11">
        <f>SUM(Dataset[[#This Row],[Likes]:[Shares]])</f>
        <v>142</v>
      </c>
      <c r="J11" t="str">
        <f>TEXT(Dataset[[#This Row],[Date]],"mmm-yyyy")</f>
        <v>Sep-2025</v>
      </c>
      <c r="K11">
        <f>WEEKNUM(Dataset[[#This Row],[Date]], 2)</f>
        <v>37</v>
      </c>
      <c r="L11" t="str">
        <f>TEXT(Dataset[[#This Row],[Date]],"dddd")</f>
        <v>Wednesday</v>
      </c>
    </row>
    <row r="12" spans="1:12" x14ac:dyDescent="0.3">
      <c r="A12">
        <v>11</v>
      </c>
      <c r="B12" t="s">
        <v>8</v>
      </c>
      <c r="C12" t="s">
        <v>9</v>
      </c>
      <c r="D12" t="s">
        <v>13</v>
      </c>
      <c r="E12">
        <v>160</v>
      </c>
      <c r="F12">
        <v>20</v>
      </c>
      <c r="G12">
        <v>7</v>
      </c>
      <c r="H12" s="1">
        <v>45911</v>
      </c>
      <c r="I12">
        <f>SUM(Dataset[[#This Row],[Likes]:[Shares]])</f>
        <v>187</v>
      </c>
      <c r="J12" t="str">
        <f>TEXT(Dataset[[#This Row],[Date]],"mmm-yyyy")</f>
        <v>Sep-2025</v>
      </c>
      <c r="K12">
        <f>WEEKNUM(Dataset[[#This Row],[Date]], 2)</f>
        <v>37</v>
      </c>
      <c r="L12" t="str">
        <f>TEXT(Dataset[[#This Row],[Date]],"dddd")</f>
        <v>Thursday</v>
      </c>
    </row>
    <row r="13" spans="1:12" x14ac:dyDescent="0.3">
      <c r="A13">
        <v>12</v>
      </c>
      <c r="B13" t="s">
        <v>8</v>
      </c>
      <c r="C13" t="s">
        <v>9</v>
      </c>
      <c r="D13" t="s">
        <v>14</v>
      </c>
      <c r="E13">
        <v>210</v>
      </c>
      <c r="F13">
        <v>38</v>
      </c>
      <c r="G13">
        <v>11</v>
      </c>
      <c r="H13" s="1">
        <v>45912</v>
      </c>
      <c r="I13">
        <f>SUM(Dataset[[#This Row],[Likes]:[Shares]])</f>
        <v>259</v>
      </c>
      <c r="J13" t="str">
        <f>TEXT(Dataset[[#This Row],[Date]],"mmm-yyyy")</f>
        <v>Sep-2025</v>
      </c>
      <c r="K13">
        <f>WEEKNUM(Dataset[[#This Row],[Date]], 2)</f>
        <v>37</v>
      </c>
      <c r="L13" t="str">
        <f>TEXT(Dataset[[#This Row],[Date]],"dddd")</f>
        <v>Friday</v>
      </c>
    </row>
    <row r="14" spans="1:12" x14ac:dyDescent="0.3">
      <c r="A14">
        <v>13</v>
      </c>
      <c r="B14" t="s">
        <v>8</v>
      </c>
      <c r="C14" t="s">
        <v>9</v>
      </c>
      <c r="D14" t="s">
        <v>15</v>
      </c>
      <c r="E14">
        <v>320</v>
      </c>
      <c r="F14">
        <v>55</v>
      </c>
      <c r="G14">
        <v>16</v>
      </c>
      <c r="H14" s="1">
        <v>45913</v>
      </c>
      <c r="I14">
        <f>SUM(Dataset[[#This Row],[Likes]:[Shares]])</f>
        <v>391</v>
      </c>
      <c r="J14" t="str">
        <f>TEXT(Dataset[[#This Row],[Date]],"mmm-yyyy")</f>
        <v>Sep-2025</v>
      </c>
      <c r="K14">
        <f>WEEKNUM(Dataset[[#This Row],[Date]], 2)</f>
        <v>37</v>
      </c>
      <c r="L14" t="str">
        <f>TEXT(Dataset[[#This Row],[Date]],"dddd")</f>
        <v>Saturday</v>
      </c>
    </row>
    <row r="15" spans="1:12" x14ac:dyDescent="0.3">
      <c r="A15">
        <v>14</v>
      </c>
      <c r="B15" t="s">
        <v>8</v>
      </c>
      <c r="C15" t="s">
        <v>9</v>
      </c>
      <c r="D15" t="s">
        <v>16</v>
      </c>
      <c r="E15">
        <v>270</v>
      </c>
      <c r="F15">
        <v>40</v>
      </c>
      <c r="G15">
        <v>12</v>
      </c>
      <c r="H15" s="1">
        <v>45914</v>
      </c>
      <c r="I15">
        <f>SUM(Dataset[[#This Row],[Likes]:[Shares]])</f>
        <v>322</v>
      </c>
      <c r="J15" t="str">
        <f>TEXT(Dataset[[#This Row],[Date]],"mmm-yyyy")</f>
        <v>Sep-2025</v>
      </c>
      <c r="K15">
        <f>WEEKNUM(Dataset[[#This Row],[Date]], 2)</f>
        <v>37</v>
      </c>
      <c r="L15" t="str">
        <f>TEXT(Dataset[[#This Row],[Date]],"dddd")</f>
        <v>Sunday</v>
      </c>
    </row>
    <row r="16" spans="1:12" x14ac:dyDescent="0.3">
      <c r="A16">
        <v>15</v>
      </c>
      <c r="B16" t="s">
        <v>8</v>
      </c>
      <c r="C16" t="s">
        <v>9</v>
      </c>
      <c r="D16" t="s">
        <v>10</v>
      </c>
      <c r="E16">
        <v>155</v>
      </c>
      <c r="F16">
        <v>21</v>
      </c>
      <c r="G16">
        <v>5</v>
      </c>
      <c r="H16" s="1">
        <v>45915</v>
      </c>
      <c r="I16">
        <f>SUM(Dataset[[#This Row],[Likes]:[Shares]])</f>
        <v>181</v>
      </c>
      <c r="J16" t="str">
        <f>TEXT(Dataset[[#This Row],[Date]],"mmm-yyyy")</f>
        <v>Sep-2025</v>
      </c>
      <c r="K16">
        <f>WEEKNUM(Dataset[[#This Row],[Date]], 2)</f>
        <v>38</v>
      </c>
      <c r="L16" t="str">
        <f>TEXT(Dataset[[#This Row],[Date]],"dddd")</f>
        <v>Monday</v>
      </c>
    </row>
    <row r="17" spans="1:12" x14ac:dyDescent="0.3">
      <c r="A17">
        <v>16</v>
      </c>
      <c r="B17" t="s">
        <v>8</v>
      </c>
      <c r="C17" t="s">
        <v>9</v>
      </c>
      <c r="D17" t="s">
        <v>11</v>
      </c>
      <c r="E17">
        <v>195</v>
      </c>
      <c r="F17">
        <v>29</v>
      </c>
      <c r="G17">
        <v>10</v>
      </c>
      <c r="H17" s="1">
        <v>45916</v>
      </c>
      <c r="I17">
        <f>SUM(Dataset[[#This Row],[Likes]:[Shares]])</f>
        <v>234</v>
      </c>
      <c r="J17" t="str">
        <f>TEXT(Dataset[[#This Row],[Date]],"mmm-yyyy")</f>
        <v>Sep-2025</v>
      </c>
      <c r="K17">
        <f>WEEKNUM(Dataset[[#This Row],[Date]], 2)</f>
        <v>38</v>
      </c>
      <c r="L17" t="str">
        <f>TEXT(Dataset[[#This Row],[Date]],"dddd")</f>
        <v>Tuesday</v>
      </c>
    </row>
    <row r="18" spans="1:12" x14ac:dyDescent="0.3">
      <c r="A18">
        <v>17</v>
      </c>
      <c r="B18" t="s">
        <v>8</v>
      </c>
      <c r="C18" t="s">
        <v>9</v>
      </c>
      <c r="D18" t="s">
        <v>12</v>
      </c>
      <c r="E18">
        <v>130</v>
      </c>
      <c r="F18">
        <v>17</v>
      </c>
      <c r="G18">
        <v>5</v>
      </c>
      <c r="H18" s="1">
        <v>45917</v>
      </c>
      <c r="I18">
        <f>SUM(Dataset[[#This Row],[Likes]:[Shares]])</f>
        <v>152</v>
      </c>
      <c r="J18" t="str">
        <f>TEXT(Dataset[[#This Row],[Date]],"mmm-yyyy")</f>
        <v>Sep-2025</v>
      </c>
      <c r="K18">
        <f>WEEKNUM(Dataset[[#This Row],[Date]], 2)</f>
        <v>38</v>
      </c>
      <c r="L18" t="str">
        <f>TEXT(Dataset[[#This Row],[Date]],"dddd")</f>
        <v>Wednesday</v>
      </c>
    </row>
    <row r="19" spans="1:12" x14ac:dyDescent="0.3">
      <c r="A19">
        <v>18</v>
      </c>
      <c r="B19" t="s">
        <v>8</v>
      </c>
      <c r="C19" t="s">
        <v>9</v>
      </c>
      <c r="D19" t="s">
        <v>13</v>
      </c>
      <c r="E19">
        <v>175</v>
      </c>
      <c r="F19">
        <v>23</v>
      </c>
      <c r="G19">
        <v>9</v>
      </c>
      <c r="H19" s="1">
        <v>45918</v>
      </c>
      <c r="I19">
        <f>SUM(Dataset[[#This Row],[Likes]:[Shares]])</f>
        <v>207</v>
      </c>
      <c r="J19" t="str">
        <f>TEXT(Dataset[[#This Row],[Date]],"mmm-yyyy")</f>
        <v>Sep-2025</v>
      </c>
      <c r="K19">
        <f>WEEKNUM(Dataset[[#This Row],[Date]], 2)</f>
        <v>38</v>
      </c>
      <c r="L19" t="str">
        <f>TEXT(Dataset[[#This Row],[Date]],"dddd")</f>
        <v>Thursday</v>
      </c>
    </row>
    <row r="20" spans="1:12" x14ac:dyDescent="0.3">
      <c r="A20">
        <v>19</v>
      </c>
      <c r="B20" t="s">
        <v>8</v>
      </c>
      <c r="C20" t="s">
        <v>9</v>
      </c>
      <c r="D20" t="s">
        <v>14</v>
      </c>
      <c r="E20">
        <v>230</v>
      </c>
      <c r="F20">
        <v>42</v>
      </c>
      <c r="G20">
        <v>13</v>
      </c>
      <c r="H20" s="1">
        <v>45919</v>
      </c>
      <c r="I20">
        <f>SUM(Dataset[[#This Row],[Likes]:[Shares]])</f>
        <v>285</v>
      </c>
      <c r="J20" t="str">
        <f>TEXT(Dataset[[#This Row],[Date]],"mmm-yyyy")</f>
        <v>Sep-2025</v>
      </c>
      <c r="K20">
        <f>WEEKNUM(Dataset[[#This Row],[Date]], 2)</f>
        <v>38</v>
      </c>
      <c r="L20" t="str">
        <f>TEXT(Dataset[[#This Row],[Date]],"dddd")</f>
        <v>Friday</v>
      </c>
    </row>
    <row r="21" spans="1:12" x14ac:dyDescent="0.3">
      <c r="A21">
        <v>20</v>
      </c>
      <c r="B21" t="s">
        <v>8</v>
      </c>
      <c r="C21" t="s">
        <v>9</v>
      </c>
      <c r="D21" t="s">
        <v>15</v>
      </c>
      <c r="E21">
        <v>310</v>
      </c>
      <c r="F21">
        <v>53</v>
      </c>
      <c r="G21">
        <v>15</v>
      </c>
      <c r="H21" s="1">
        <v>45920</v>
      </c>
      <c r="I21">
        <f>SUM(Dataset[[#This Row],[Likes]:[Shares]])</f>
        <v>378</v>
      </c>
      <c r="J21" t="str">
        <f>TEXT(Dataset[[#This Row],[Date]],"mmm-yyyy")</f>
        <v>Sep-2025</v>
      </c>
      <c r="K21">
        <f>WEEKNUM(Dataset[[#This Row],[Date]], 2)</f>
        <v>38</v>
      </c>
      <c r="L21" t="str">
        <f>TEXT(Dataset[[#This Row],[Date]],"dddd")</f>
        <v>Saturday</v>
      </c>
    </row>
    <row r="22" spans="1:12" x14ac:dyDescent="0.3">
      <c r="A22">
        <v>21</v>
      </c>
      <c r="B22" t="s">
        <v>8</v>
      </c>
      <c r="C22" t="s">
        <v>9</v>
      </c>
      <c r="D22" t="s">
        <v>16</v>
      </c>
      <c r="E22">
        <v>260</v>
      </c>
      <c r="F22">
        <v>38</v>
      </c>
      <c r="G22">
        <v>11</v>
      </c>
      <c r="H22" s="1">
        <v>45921</v>
      </c>
      <c r="I22">
        <f>SUM(Dataset[[#This Row],[Likes]:[Shares]])</f>
        <v>309</v>
      </c>
      <c r="J22" t="str">
        <f>TEXT(Dataset[[#This Row],[Date]],"mmm-yyyy")</f>
        <v>Sep-2025</v>
      </c>
      <c r="K22">
        <f>WEEKNUM(Dataset[[#This Row],[Date]], 2)</f>
        <v>38</v>
      </c>
      <c r="L22" t="str">
        <f>TEXT(Dataset[[#This Row],[Date]],"dddd")</f>
        <v>Sunday</v>
      </c>
    </row>
    <row r="23" spans="1:12" x14ac:dyDescent="0.3">
      <c r="A23">
        <v>22</v>
      </c>
      <c r="B23" t="s">
        <v>8</v>
      </c>
      <c r="C23" t="s">
        <v>9</v>
      </c>
      <c r="D23" t="s">
        <v>10</v>
      </c>
      <c r="E23">
        <v>165</v>
      </c>
      <c r="F23">
        <v>24</v>
      </c>
      <c r="G23">
        <v>6</v>
      </c>
      <c r="H23" s="1">
        <v>45922</v>
      </c>
      <c r="I23">
        <f>SUM(Dataset[[#This Row],[Likes]:[Shares]])</f>
        <v>195</v>
      </c>
      <c r="J23" t="str">
        <f>TEXT(Dataset[[#This Row],[Date]],"mmm-yyyy")</f>
        <v>Sep-2025</v>
      </c>
      <c r="K23">
        <f>WEEKNUM(Dataset[[#This Row],[Date]], 2)</f>
        <v>39</v>
      </c>
      <c r="L23" t="str">
        <f>TEXT(Dataset[[#This Row],[Date]],"dddd")</f>
        <v>Monday</v>
      </c>
    </row>
    <row r="24" spans="1:12" x14ac:dyDescent="0.3">
      <c r="A24">
        <v>23</v>
      </c>
      <c r="B24" t="s">
        <v>8</v>
      </c>
      <c r="C24" t="s">
        <v>9</v>
      </c>
      <c r="D24" t="s">
        <v>11</v>
      </c>
      <c r="E24">
        <v>185</v>
      </c>
      <c r="F24">
        <v>27</v>
      </c>
      <c r="G24">
        <v>9</v>
      </c>
      <c r="H24" s="1">
        <v>45923</v>
      </c>
      <c r="I24">
        <f>SUM(Dataset[[#This Row],[Likes]:[Shares]])</f>
        <v>221</v>
      </c>
      <c r="J24" t="str">
        <f>TEXT(Dataset[[#This Row],[Date]],"mmm-yyyy")</f>
        <v>Sep-2025</v>
      </c>
      <c r="K24">
        <f>WEEKNUM(Dataset[[#This Row],[Date]], 2)</f>
        <v>39</v>
      </c>
      <c r="L24" t="str">
        <f>TEXT(Dataset[[#This Row],[Date]],"dddd")</f>
        <v>Tuesday</v>
      </c>
    </row>
    <row r="25" spans="1:12" x14ac:dyDescent="0.3">
      <c r="A25">
        <v>24</v>
      </c>
      <c r="B25" t="s">
        <v>8</v>
      </c>
      <c r="C25" t="s">
        <v>9</v>
      </c>
      <c r="D25" t="s">
        <v>12</v>
      </c>
      <c r="E25">
        <v>125</v>
      </c>
      <c r="F25">
        <v>16</v>
      </c>
      <c r="G25">
        <v>4</v>
      </c>
      <c r="H25" s="1">
        <v>45924</v>
      </c>
      <c r="I25">
        <f>SUM(Dataset[[#This Row],[Likes]:[Shares]])</f>
        <v>145</v>
      </c>
      <c r="J25" t="str">
        <f>TEXT(Dataset[[#This Row],[Date]],"mmm-yyyy")</f>
        <v>Sep-2025</v>
      </c>
      <c r="K25">
        <f>WEEKNUM(Dataset[[#This Row],[Date]], 2)</f>
        <v>39</v>
      </c>
      <c r="L25" t="str">
        <f>TEXT(Dataset[[#This Row],[Date]],"dddd")</f>
        <v>Wednesday</v>
      </c>
    </row>
    <row r="26" spans="1:12" x14ac:dyDescent="0.3">
      <c r="A26">
        <v>25</v>
      </c>
      <c r="B26" t="s">
        <v>8</v>
      </c>
      <c r="C26" t="s">
        <v>9</v>
      </c>
      <c r="D26" t="s">
        <v>13</v>
      </c>
      <c r="E26">
        <v>170</v>
      </c>
      <c r="F26">
        <v>22</v>
      </c>
      <c r="G26">
        <v>8</v>
      </c>
      <c r="H26" s="1">
        <v>45925</v>
      </c>
      <c r="I26">
        <f>SUM(Dataset[[#This Row],[Likes]:[Shares]])</f>
        <v>200</v>
      </c>
      <c r="J26" t="str">
        <f>TEXT(Dataset[[#This Row],[Date]],"mmm-yyyy")</f>
        <v>Sep-2025</v>
      </c>
      <c r="K26">
        <f>WEEKNUM(Dataset[[#This Row],[Date]], 2)</f>
        <v>39</v>
      </c>
      <c r="L26" t="str">
        <f>TEXT(Dataset[[#This Row],[Date]],"dddd")</f>
        <v>Thursday</v>
      </c>
    </row>
    <row r="27" spans="1:12" x14ac:dyDescent="0.3">
      <c r="A27">
        <v>26</v>
      </c>
      <c r="B27" t="s">
        <v>8</v>
      </c>
      <c r="C27" t="s">
        <v>9</v>
      </c>
      <c r="D27" t="s">
        <v>14</v>
      </c>
      <c r="E27">
        <v>240</v>
      </c>
      <c r="F27">
        <v>45</v>
      </c>
      <c r="G27">
        <v>14</v>
      </c>
      <c r="H27" s="1">
        <v>45926</v>
      </c>
      <c r="I27">
        <f>SUM(Dataset[[#This Row],[Likes]:[Shares]])</f>
        <v>299</v>
      </c>
      <c r="J27" t="str">
        <f>TEXT(Dataset[[#This Row],[Date]],"mmm-yyyy")</f>
        <v>Sep-2025</v>
      </c>
      <c r="K27">
        <f>WEEKNUM(Dataset[[#This Row],[Date]], 2)</f>
        <v>39</v>
      </c>
      <c r="L27" t="str">
        <f>TEXT(Dataset[[#This Row],[Date]],"dddd")</f>
        <v>Friday</v>
      </c>
    </row>
    <row r="28" spans="1:12" x14ac:dyDescent="0.3">
      <c r="A28">
        <v>27</v>
      </c>
      <c r="B28" t="s">
        <v>8</v>
      </c>
      <c r="C28" t="s">
        <v>9</v>
      </c>
      <c r="D28" t="s">
        <v>15</v>
      </c>
      <c r="E28">
        <v>330</v>
      </c>
      <c r="F28">
        <v>60</v>
      </c>
      <c r="G28">
        <v>18</v>
      </c>
      <c r="H28" s="1">
        <v>45927</v>
      </c>
      <c r="I28">
        <f>SUM(Dataset[[#This Row],[Likes]:[Shares]])</f>
        <v>408</v>
      </c>
      <c r="J28" t="str">
        <f>TEXT(Dataset[[#This Row],[Date]],"mmm-yyyy")</f>
        <v>Sep-2025</v>
      </c>
      <c r="K28">
        <f>WEEKNUM(Dataset[[#This Row],[Date]], 2)</f>
        <v>39</v>
      </c>
      <c r="L28" t="str">
        <f>TEXT(Dataset[[#This Row],[Date]],"dddd")</f>
        <v>Saturday</v>
      </c>
    </row>
    <row r="29" spans="1:12" x14ac:dyDescent="0.3">
      <c r="A29">
        <v>28</v>
      </c>
      <c r="B29" t="s">
        <v>8</v>
      </c>
      <c r="C29" t="s">
        <v>9</v>
      </c>
      <c r="D29" t="s">
        <v>16</v>
      </c>
      <c r="E29">
        <v>280</v>
      </c>
      <c r="F29">
        <v>42</v>
      </c>
      <c r="G29">
        <v>13</v>
      </c>
      <c r="H29" s="1">
        <v>45928</v>
      </c>
      <c r="I29">
        <f>SUM(Dataset[[#This Row],[Likes]:[Shares]])</f>
        <v>335</v>
      </c>
      <c r="J29" t="str">
        <f>TEXT(Dataset[[#This Row],[Date]],"mmm-yyyy")</f>
        <v>Sep-2025</v>
      </c>
      <c r="K29">
        <f>WEEKNUM(Dataset[[#This Row],[Date]], 2)</f>
        <v>39</v>
      </c>
      <c r="L29" t="str">
        <f>TEXT(Dataset[[#This Row],[Date]],"dddd")</f>
        <v>Sunday</v>
      </c>
    </row>
    <row r="30" spans="1:12" x14ac:dyDescent="0.3">
      <c r="A30">
        <v>29</v>
      </c>
      <c r="B30" t="s">
        <v>8</v>
      </c>
      <c r="C30" t="s">
        <v>9</v>
      </c>
      <c r="D30" t="s">
        <v>10</v>
      </c>
      <c r="E30">
        <v>160</v>
      </c>
      <c r="F30">
        <v>23</v>
      </c>
      <c r="G30">
        <v>5</v>
      </c>
      <c r="H30" s="1">
        <v>45929</v>
      </c>
      <c r="I30">
        <f>SUM(Dataset[[#This Row],[Likes]:[Shares]])</f>
        <v>188</v>
      </c>
      <c r="J30" t="str">
        <f>TEXT(Dataset[[#This Row],[Date]],"mmm-yyyy")</f>
        <v>Sep-2025</v>
      </c>
      <c r="K30">
        <f>WEEKNUM(Dataset[[#This Row],[Date]], 2)</f>
        <v>40</v>
      </c>
      <c r="L30" t="str">
        <f>TEXT(Dataset[[#This Row],[Date]],"dddd")</f>
        <v>Monday</v>
      </c>
    </row>
    <row r="31" spans="1:12" x14ac:dyDescent="0.3">
      <c r="A31">
        <v>30</v>
      </c>
      <c r="B31" t="s">
        <v>8</v>
      </c>
      <c r="C31" t="s">
        <v>9</v>
      </c>
      <c r="D31" t="s">
        <v>11</v>
      </c>
      <c r="E31">
        <v>200</v>
      </c>
      <c r="F31">
        <v>30</v>
      </c>
      <c r="G31">
        <v>11</v>
      </c>
      <c r="H31" s="1">
        <v>45930</v>
      </c>
      <c r="I31">
        <f>SUM(Dataset[[#This Row],[Likes]:[Shares]])</f>
        <v>241</v>
      </c>
      <c r="J31" t="str">
        <f>TEXT(Dataset[[#This Row],[Date]],"mmm-yyyy")</f>
        <v>Sep-2025</v>
      </c>
      <c r="K31">
        <f>WEEKNUM(Dataset[[#This Row],[Date]], 2)</f>
        <v>40</v>
      </c>
      <c r="L31" t="str">
        <f>TEXT(Dataset[[#This Row],[Date]],"dddd")</f>
        <v>Tuesday</v>
      </c>
    </row>
    <row r="32" spans="1:12" x14ac:dyDescent="0.3">
      <c r="A32">
        <v>31</v>
      </c>
      <c r="B32" t="s">
        <v>8</v>
      </c>
      <c r="C32" t="s">
        <v>9</v>
      </c>
      <c r="D32" t="s">
        <v>12</v>
      </c>
      <c r="E32">
        <v>140</v>
      </c>
      <c r="F32">
        <v>19</v>
      </c>
      <c r="G32">
        <v>6</v>
      </c>
      <c r="H32" s="1">
        <v>45931</v>
      </c>
      <c r="I32">
        <f>SUM(Dataset[[#This Row],[Likes]:[Shares]])</f>
        <v>165</v>
      </c>
      <c r="J32" t="str">
        <f>TEXT(Dataset[[#This Row],[Date]],"mmm-yyyy")</f>
        <v>Oct-2025</v>
      </c>
      <c r="K32">
        <f>WEEKNUM(Dataset[[#This Row],[Date]], 2)</f>
        <v>40</v>
      </c>
      <c r="L32" t="str">
        <f>TEXT(Dataset[[#This Row],[Date]],"dddd")</f>
        <v>Wednesday</v>
      </c>
    </row>
    <row r="33" spans="1:12" x14ac:dyDescent="0.3">
      <c r="A33">
        <v>32</v>
      </c>
      <c r="B33" t="s">
        <v>8</v>
      </c>
      <c r="C33" t="s">
        <v>9</v>
      </c>
      <c r="D33" t="s">
        <v>13</v>
      </c>
      <c r="E33">
        <v>180</v>
      </c>
      <c r="F33">
        <v>25</v>
      </c>
      <c r="G33">
        <v>9</v>
      </c>
      <c r="H33" s="1">
        <v>45932</v>
      </c>
      <c r="I33">
        <f>SUM(Dataset[[#This Row],[Likes]:[Shares]])</f>
        <v>214</v>
      </c>
      <c r="J33" t="str">
        <f>TEXT(Dataset[[#This Row],[Date]],"mmm-yyyy")</f>
        <v>Oct-2025</v>
      </c>
      <c r="K33">
        <f>WEEKNUM(Dataset[[#This Row],[Date]], 2)</f>
        <v>40</v>
      </c>
      <c r="L33" t="str">
        <f>TEXT(Dataset[[#This Row],[Date]],"dddd")</f>
        <v>Thursday</v>
      </c>
    </row>
    <row r="34" spans="1:12" x14ac:dyDescent="0.3">
      <c r="A34">
        <v>33</v>
      </c>
      <c r="B34" t="s">
        <v>8</v>
      </c>
      <c r="C34" t="s">
        <v>9</v>
      </c>
      <c r="D34" t="s">
        <v>14</v>
      </c>
      <c r="E34">
        <v>220</v>
      </c>
      <c r="F34">
        <v>40</v>
      </c>
      <c r="G34">
        <v>12</v>
      </c>
      <c r="H34" s="1">
        <v>45933</v>
      </c>
      <c r="I34">
        <f>SUM(Dataset[[#This Row],[Likes]:[Shares]])</f>
        <v>272</v>
      </c>
      <c r="J34" t="str">
        <f>TEXT(Dataset[[#This Row],[Date]],"mmm-yyyy")</f>
        <v>Oct-2025</v>
      </c>
      <c r="K34">
        <f>WEEKNUM(Dataset[[#This Row],[Date]], 2)</f>
        <v>40</v>
      </c>
      <c r="L34" t="str">
        <f>TEXT(Dataset[[#This Row],[Date]],"dddd")</f>
        <v>Friday</v>
      </c>
    </row>
    <row r="35" spans="1:12" x14ac:dyDescent="0.3">
      <c r="A35">
        <v>34</v>
      </c>
      <c r="B35" t="s">
        <v>8</v>
      </c>
      <c r="C35" t="s">
        <v>9</v>
      </c>
      <c r="D35" t="s">
        <v>15</v>
      </c>
      <c r="E35">
        <v>300</v>
      </c>
      <c r="F35">
        <v>55</v>
      </c>
      <c r="G35">
        <v>15</v>
      </c>
      <c r="H35" s="1">
        <v>45934</v>
      </c>
      <c r="I35">
        <f>SUM(Dataset[[#This Row],[Likes]:[Shares]])</f>
        <v>370</v>
      </c>
      <c r="J35" t="str">
        <f>TEXT(Dataset[[#This Row],[Date]],"mmm-yyyy")</f>
        <v>Oct-2025</v>
      </c>
      <c r="K35">
        <f>WEEKNUM(Dataset[[#This Row],[Date]], 2)</f>
        <v>40</v>
      </c>
      <c r="L35" t="str">
        <f>TEXT(Dataset[[#This Row],[Date]],"dddd")</f>
        <v>Saturday</v>
      </c>
    </row>
    <row r="36" spans="1:12" x14ac:dyDescent="0.3">
      <c r="A36">
        <v>35</v>
      </c>
      <c r="B36" t="s">
        <v>8</v>
      </c>
      <c r="C36" t="s">
        <v>9</v>
      </c>
      <c r="D36" t="s">
        <v>16</v>
      </c>
      <c r="E36">
        <v>250</v>
      </c>
      <c r="F36">
        <v>37</v>
      </c>
      <c r="G36">
        <v>10</v>
      </c>
      <c r="H36" s="1">
        <v>45935</v>
      </c>
      <c r="I36">
        <f>SUM(Dataset[[#This Row],[Likes]:[Shares]])</f>
        <v>297</v>
      </c>
      <c r="J36" t="str">
        <f>TEXT(Dataset[[#This Row],[Date]],"mmm-yyyy")</f>
        <v>Oct-2025</v>
      </c>
      <c r="K36">
        <f>WEEKNUM(Dataset[[#This Row],[Date]], 2)</f>
        <v>40</v>
      </c>
      <c r="L36" t="str">
        <f>TEXT(Dataset[[#This Row],[Date]],"dddd")</f>
        <v>Sunday</v>
      </c>
    </row>
    <row r="37" spans="1:12" x14ac:dyDescent="0.3">
      <c r="A37">
        <v>36</v>
      </c>
      <c r="B37" t="s">
        <v>8</v>
      </c>
      <c r="C37" t="s">
        <v>9</v>
      </c>
      <c r="D37" t="s">
        <v>10</v>
      </c>
      <c r="E37">
        <v>170</v>
      </c>
      <c r="F37">
        <v>26</v>
      </c>
      <c r="G37">
        <v>7</v>
      </c>
      <c r="H37" s="1">
        <v>45936</v>
      </c>
      <c r="I37">
        <f>SUM(Dataset[[#This Row],[Likes]:[Shares]])</f>
        <v>203</v>
      </c>
      <c r="J37" t="str">
        <f>TEXT(Dataset[[#This Row],[Date]],"mmm-yyyy")</f>
        <v>Oct-2025</v>
      </c>
      <c r="K37">
        <f>WEEKNUM(Dataset[[#This Row],[Date]], 2)</f>
        <v>41</v>
      </c>
      <c r="L37" t="str">
        <f>TEXT(Dataset[[#This Row],[Date]],"dddd")</f>
        <v>Monday</v>
      </c>
    </row>
    <row r="38" spans="1:12" x14ac:dyDescent="0.3">
      <c r="A38">
        <v>37</v>
      </c>
      <c r="B38" t="s">
        <v>8</v>
      </c>
      <c r="C38" t="s">
        <v>9</v>
      </c>
      <c r="D38" t="s">
        <v>11</v>
      </c>
      <c r="E38">
        <v>190</v>
      </c>
      <c r="F38">
        <v>28</v>
      </c>
      <c r="G38">
        <v>10</v>
      </c>
      <c r="H38" s="1">
        <v>45937</v>
      </c>
      <c r="I38">
        <f>SUM(Dataset[[#This Row],[Likes]:[Shares]])</f>
        <v>228</v>
      </c>
      <c r="J38" t="str">
        <f>TEXT(Dataset[[#This Row],[Date]],"mmm-yyyy")</f>
        <v>Oct-2025</v>
      </c>
      <c r="K38">
        <f>WEEKNUM(Dataset[[#This Row],[Date]], 2)</f>
        <v>41</v>
      </c>
      <c r="L38" t="str">
        <f>TEXT(Dataset[[#This Row],[Date]],"dddd")</f>
        <v>Tuesday</v>
      </c>
    </row>
    <row r="39" spans="1:12" x14ac:dyDescent="0.3">
      <c r="A39">
        <v>38</v>
      </c>
      <c r="B39" t="s">
        <v>8</v>
      </c>
      <c r="C39" t="s">
        <v>9</v>
      </c>
      <c r="D39" t="s">
        <v>12</v>
      </c>
      <c r="E39">
        <v>130</v>
      </c>
      <c r="F39">
        <v>18</v>
      </c>
      <c r="G39">
        <v>5</v>
      </c>
      <c r="H39" s="1">
        <v>45938</v>
      </c>
      <c r="I39">
        <f>SUM(Dataset[[#This Row],[Likes]:[Shares]])</f>
        <v>153</v>
      </c>
      <c r="J39" t="str">
        <f>TEXT(Dataset[[#This Row],[Date]],"mmm-yyyy")</f>
        <v>Oct-2025</v>
      </c>
      <c r="K39">
        <f>WEEKNUM(Dataset[[#This Row],[Date]], 2)</f>
        <v>41</v>
      </c>
      <c r="L39" t="str">
        <f>TEXT(Dataset[[#This Row],[Date]],"dddd")</f>
        <v>Wednesday</v>
      </c>
    </row>
    <row r="40" spans="1:12" x14ac:dyDescent="0.3">
      <c r="A40">
        <v>39</v>
      </c>
      <c r="B40" t="s">
        <v>8</v>
      </c>
      <c r="C40" t="s">
        <v>9</v>
      </c>
      <c r="D40" t="s">
        <v>13</v>
      </c>
      <c r="E40">
        <v>165</v>
      </c>
      <c r="F40">
        <v>21</v>
      </c>
      <c r="G40">
        <v>8</v>
      </c>
      <c r="H40" s="1">
        <v>45939</v>
      </c>
      <c r="I40">
        <f>SUM(Dataset[[#This Row],[Likes]:[Shares]])</f>
        <v>194</v>
      </c>
      <c r="J40" t="str">
        <f>TEXT(Dataset[[#This Row],[Date]],"mmm-yyyy")</f>
        <v>Oct-2025</v>
      </c>
      <c r="K40">
        <f>WEEKNUM(Dataset[[#This Row],[Date]], 2)</f>
        <v>41</v>
      </c>
      <c r="L40" t="str">
        <f>TEXT(Dataset[[#This Row],[Date]],"dddd")</f>
        <v>Thursday</v>
      </c>
    </row>
    <row r="41" spans="1:12" x14ac:dyDescent="0.3">
      <c r="A41">
        <v>40</v>
      </c>
      <c r="B41" t="s">
        <v>8</v>
      </c>
      <c r="C41" t="s">
        <v>9</v>
      </c>
      <c r="D41" t="s">
        <v>14</v>
      </c>
      <c r="E41">
        <v>230</v>
      </c>
      <c r="F41">
        <v>43</v>
      </c>
      <c r="G41">
        <v>13</v>
      </c>
      <c r="H41" s="1">
        <v>45940</v>
      </c>
      <c r="I41">
        <f>SUM(Dataset[[#This Row],[Likes]:[Shares]])</f>
        <v>286</v>
      </c>
      <c r="J41" t="str">
        <f>TEXT(Dataset[[#This Row],[Date]],"mmm-yyyy")</f>
        <v>Oct-2025</v>
      </c>
      <c r="K41">
        <f>WEEKNUM(Dataset[[#This Row],[Date]], 2)</f>
        <v>41</v>
      </c>
      <c r="L41" t="str">
        <f>TEXT(Dataset[[#This Row],[Date]],"dddd")</f>
        <v>Friday</v>
      </c>
    </row>
    <row r="42" spans="1:12" x14ac:dyDescent="0.3">
      <c r="A42">
        <v>41</v>
      </c>
      <c r="B42" t="s">
        <v>8</v>
      </c>
      <c r="C42" t="s">
        <v>9</v>
      </c>
      <c r="D42" t="s">
        <v>15</v>
      </c>
      <c r="E42">
        <v>310</v>
      </c>
      <c r="F42">
        <v>50</v>
      </c>
      <c r="G42">
        <v>16</v>
      </c>
      <c r="H42" s="1">
        <v>45941</v>
      </c>
      <c r="I42">
        <f>SUM(Dataset[[#This Row],[Likes]:[Shares]])</f>
        <v>376</v>
      </c>
      <c r="J42" t="str">
        <f>TEXT(Dataset[[#This Row],[Date]],"mmm-yyyy")</f>
        <v>Oct-2025</v>
      </c>
      <c r="K42">
        <f>WEEKNUM(Dataset[[#This Row],[Date]], 2)</f>
        <v>41</v>
      </c>
      <c r="L42" t="str">
        <f>TEXT(Dataset[[#This Row],[Date]],"dddd")</f>
        <v>Saturday</v>
      </c>
    </row>
    <row r="43" spans="1:12" x14ac:dyDescent="0.3">
      <c r="A43">
        <v>42</v>
      </c>
      <c r="B43" t="s">
        <v>8</v>
      </c>
      <c r="C43" t="s">
        <v>9</v>
      </c>
      <c r="D43" t="s">
        <v>16</v>
      </c>
      <c r="E43">
        <v>270</v>
      </c>
      <c r="F43">
        <v>39</v>
      </c>
      <c r="G43">
        <v>12</v>
      </c>
      <c r="H43" s="1">
        <v>45942</v>
      </c>
      <c r="I43">
        <f>SUM(Dataset[[#This Row],[Likes]:[Shares]])</f>
        <v>321</v>
      </c>
      <c r="J43" t="str">
        <f>TEXT(Dataset[[#This Row],[Date]],"mmm-yyyy")</f>
        <v>Oct-2025</v>
      </c>
      <c r="K43">
        <f>WEEKNUM(Dataset[[#This Row],[Date]], 2)</f>
        <v>41</v>
      </c>
      <c r="L43" t="str">
        <f>TEXT(Dataset[[#This Row],[Date]],"dddd")</f>
        <v>Sunday</v>
      </c>
    </row>
    <row r="44" spans="1:12" x14ac:dyDescent="0.3">
      <c r="A44">
        <v>43</v>
      </c>
      <c r="B44" t="s">
        <v>8</v>
      </c>
      <c r="C44" t="s">
        <v>9</v>
      </c>
      <c r="D44" t="s">
        <v>10</v>
      </c>
      <c r="E44">
        <v>155</v>
      </c>
      <c r="F44">
        <v>22</v>
      </c>
      <c r="G44">
        <v>6</v>
      </c>
      <c r="H44" s="1">
        <v>45943</v>
      </c>
      <c r="I44">
        <f>SUM(Dataset[[#This Row],[Likes]:[Shares]])</f>
        <v>183</v>
      </c>
      <c r="J44" t="str">
        <f>TEXT(Dataset[[#This Row],[Date]],"mmm-yyyy")</f>
        <v>Oct-2025</v>
      </c>
      <c r="K44">
        <f>WEEKNUM(Dataset[[#This Row],[Date]], 2)</f>
        <v>42</v>
      </c>
      <c r="L44" t="str">
        <f>TEXT(Dataset[[#This Row],[Date]],"dddd")</f>
        <v>Monday</v>
      </c>
    </row>
    <row r="45" spans="1:12" x14ac:dyDescent="0.3">
      <c r="A45">
        <v>44</v>
      </c>
      <c r="B45" t="s">
        <v>8</v>
      </c>
      <c r="C45" t="s">
        <v>9</v>
      </c>
      <c r="D45" t="s">
        <v>11</v>
      </c>
      <c r="E45">
        <v>195</v>
      </c>
      <c r="F45">
        <v>31</v>
      </c>
      <c r="G45">
        <v>11</v>
      </c>
      <c r="H45" s="1">
        <v>45944</v>
      </c>
      <c r="I45">
        <f>SUM(Dataset[[#This Row],[Likes]:[Shares]])</f>
        <v>237</v>
      </c>
      <c r="J45" t="str">
        <f>TEXT(Dataset[[#This Row],[Date]],"mmm-yyyy")</f>
        <v>Oct-2025</v>
      </c>
      <c r="K45">
        <f>WEEKNUM(Dataset[[#This Row],[Date]], 2)</f>
        <v>42</v>
      </c>
      <c r="L45" t="str">
        <f>TEXT(Dataset[[#This Row],[Date]],"dddd")</f>
        <v>Tuesday</v>
      </c>
    </row>
    <row r="46" spans="1:12" x14ac:dyDescent="0.3">
      <c r="A46">
        <v>45</v>
      </c>
      <c r="B46" t="s">
        <v>8</v>
      </c>
      <c r="C46" t="s">
        <v>9</v>
      </c>
      <c r="D46" t="s">
        <v>12</v>
      </c>
      <c r="E46">
        <v>120</v>
      </c>
      <c r="F46">
        <v>17</v>
      </c>
      <c r="G46">
        <v>4</v>
      </c>
      <c r="H46" s="1">
        <v>45945</v>
      </c>
      <c r="I46">
        <f>SUM(Dataset[[#This Row],[Likes]:[Shares]])</f>
        <v>141</v>
      </c>
      <c r="J46" t="str">
        <f>TEXT(Dataset[[#This Row],[Date]],"mmm-yyyy")</f>
        <v>Oct-2025</v>
      </c>
      <c r="K46">
        <f>WEEKNUM(Dataset[[#This Row],[Date]], 2)</f>
        <v>42</v>
      </c>
      <c r="L46" t="str">
        <f>TEXT(Dataset[[#This Row],[Date]],"dddd")</f>
        <v>Wednesday</v>
      </c>
    </row>
    <row r="47" spans="1:12" x14ac:dyDescent="0.3">
      <c r="A47">
        <v>46</v>
      </c>
      <c r="B47" t="s">
        <v>8</v>
      </c>
      <c r="C47" t="s">
        <v>9</v>
      </c>
      <c r="D47" t="s">
        <v>13</v>
      </c>
      <c r="E47">
        <v>175</v>
      </c>
      <c r="F47">
        <v>24</v>
      </c>
      <c r="G47">
        <v>9</v>
      </c>
      <c r="H47" s="1">
        <v>45946</v>
      </c>
      <c r="I47">
        <f>SUM(Dataset[[#This Row],[Likes]:[Shares]])</f>
        <v>208</v>
      </c>
      <c r="J47" t="str">
        <f>TEXT(Dataset[[#This Row],[Date]],"mmm-yyyy")</f>
        <v>Oct-2025</v>
      </c>
      <c r="K47">
        <f>WEEKNUM(Dataset[[#This Row],[Date]], 2)</f>
        <v>42</v>
      </c>
      <c r="L47" t="str">
        <f>TEXT(Dataset[[#This Row],[Date]],"dddd")</f>
        <v>Thursday</v>
      </c>
    </row>
    <row r="48" spans="1:12" x14ac:dyDescent="0.3">
      <c r="A48">
        <v>47</v>
      </c>
      <c r="B48" t="s">
        <v>8</v>
      </c>
      <c r="C48" t="s">
        <v>9</v>
      </c>
      <c r="D48" t="s">
        <v>14</v>
      </c>
      <c r="E48">
        <v>240</v>
      </c>
      <c r="F48">
        <v>44</v>
      </c>
      <c r="G48">
        <v>14</v>
      </c>
      <c r="H48" s="1">
        <v>45947</v>
      </c>
      <c r="I48">
        <f>SUM(Dataset[[#This Row],[Likes]:[Shares]])</f>
        <v>298</v>
      </c>
      <c r="J48" t="str">
        <f>TEXT(Dataset[[#This Row],[Date]],"mmm-yyyy")</f>
        <v>Oct-2025</v>
      </c>
      <c r="K48">
        <f>WEEKNUM(Dataset[[#This Row],[Date]], 2)</f>
        <v>42</v>
      </c>
      <c r="L48" t="str">
        <f>TEXT(Dataset[[#This Row],[Date]],"dddd")</f>
        <v>Friday</v>
      </c>
    </row>
    <row r="49" spans="1:12" x14ac:dyDescent="0.3">
      <c r="A49">
        <v>48</v>
      </c>
      <c r="B49" t="s">
        <v>8</v>
      </c>
      <c r="C49" t="s">
        <v>9</v>
      </c>
      <c r="D49" t="s">
        <v>15</v>
      </c>
      <c r="E49">
        <v>320</v>
      </c>
      <c r="F49">
        <v>57</v>
      </c>
      <c r="G49">
        <v>17</v>
      </c>
      <c r="H49" s="1">
        <v>45948</v>
      </c>
      <c r="I49">
        <f>SUM(Dataset[[#This Row],[Likes]:[Shares]])</f>
        <v>394</v>
      </c>
      <c r="J49" t="str">
        <f>TEXT(Dataset[[#This Row],[Date]],"mmm-yyyy")</f>
        <v>Oct-2025</v>
      </c>
      <c r="K49">
        <f>WEEKNUM(Dataset[[#This Row],[Date]], 2)</f>
        <v>42</v>
      </c>
      <c r="L49" t="str">
        <f>TEXT(Dataset[[#This Row],[Date]],"dddd")</f>
        <v>Saturday</v>
      </c>
    </row>
    <row r="50" spans="1:12" x14ac:dyDescent="0.3">
      <c r="A50">
        <v>49</v>
      </c>
      <c r="B50" t="s">
        <v>8</v>
      </c>
      <c r="C50" t="s">
        <v>9</v>
      </c>
      <c r="D50" t="s">
        <v>16</v>
      </c>
      <c r="E50">
        <v>280</v>
      </c>
      <c r="F50">
        <v>41</v>
      </c>
      <c r="G50">
        <v>13</v>
      </c>
      <c r="H50" s="1">
        <v>45949</v>
      </c>
      <c r="I50">
        <f>SUM(Dataset[[#This Row],[Likes]:[Shares]])</f>
        <v>334</v>
      </c>
      <c r="J50" t="str">
        <f>TEXT(Dataset[[#This Row],[Date]],"mmm-yyyy")</f>
        <v>Oct-2025</v>
      </c>
      <c r="K50">
        <f>WEEKNUM(Dataset[[#This Row],[Date]], 2)</f>
        <v>42</v>
      </c>
      <c r="L50" t="str">
        <f>TEXT(Dataset[[#This Row],[Date]],"dddd")</f>
        <v>Sunday</v>
      </c>
    </row>
    <row r="51" spans="1:12" x14ac:dyDescent="0.3">
      <c r="A51">
        <v>50</v>
      </c>
      <c r="B51" t="s">
        <v>8</v>
      </c>
      <c r="C51" t="s">
        <v>9</v>
      </c>
      <c r="D51" t="s">
        <v>10</v>
      </c>
      <c r="E51">
        <v>165</v>
      </c>
      <c r="F51">
        <v>25</v>
      </c>
      <c r="G51">
        <v>6</v>
      </c>
      <c r="H51" s="1">
        <v>45950</v>
      </c>
      <c r="I51">
        <f>SUM(Dataset[[#This Row],[Likes]:[Shares]])</f>
        <v>196</v>
      </c>
      <c r="J51" t="str">
        <f>TEXT(Dataset[[#This Row],[Date]],"mmm-yyyy")</f>
        <v>Oct-2025</v>
      </c>
      <c r="K51">
        <f>WEEKNUM(Dataset[[#This Row],[Date]], 2)</f>
        <v>43</v>
      </c>
      <c r="L51" t="str">
        <f>TEXT(Dataset[[#This Row],[Date]],"dddd")</f>
        <v>Monday</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450D7B6-A92A-4682-BB2C-870B000F11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Sheet1</vt:lpstr>
      <vt:lpstr>Dataset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Sultan</dc:creator>
  <cp:lastModifiedBy>Shifa Siddiqui</cp:lastModifiedBy>
  <dcterms:created xsi:type="dcterms:W3CDTF">2025-12-03T06:25:17Z</dcterms:created>
  <dcterms:modified xsi:type="dcterms:W3CDTF">2025-12-04T03:06:14Z</dcterms:modified>
</cp:coreProperties>
</file>