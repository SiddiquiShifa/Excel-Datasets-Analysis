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mc:AlternateContent xmlns:mc="http://schemas.openxmlformats.org/markup-compatibility/2006">
    <mc:Choice Requires="x15">
      <x15ac:absPath xmlns:x15ac="http://schemas.microsoft.com/office/spreadsheetml/2010/11/ac" url="C:\Users\Sultan\Documents\GitHub\Excel-Datasets-Analysis\"/>
    </mc:Choice>
  </mc:AlternateContent>
  <xr:revisionPtr revIDLastSave="0" documentId="13_ncr:1_{63D0B6EE-A7A7-4E94-99CA-2546838B3559}" xr6:coauthVersionLast="47" xr6:coauthVersionMax="47" xr10:uidLastSave="{00000000-0000-0000-0000-000000000000}"/>
  <bookViews>
    <workbookView xWindow="-108" yWindow="-108" windowWidth="23256" windowHeight="12456" activeTab="3" xr2:uid="{26D4546B-D2A1-4444-8EAF-A6228F96F0C1}"/>
  </bookViews>
  <sheets>
    <sheet name="Sheet1" sheetId="7" r:id="rId1"/>
    <sheet name="Pivots" sheetId="6" r:id="rId2"/>
    <sheet name="Data" sheetId="2" r:id="rId3"/>
    <sheet name="Customer Centre Report" sheetId="5" r:id="rId4"/>
    <sheet name="Assets" sheetId="4" r:id="rId5"/>
  </sheets>
  <definedNames>
    <definedName name="_xlnm._FilterDatabase" localSheetId="2" hidden="1">Data!$B$3:$H$1003</definedName>
    <definedName name="_xlcn.WorksheetConnection_PortfolioProject.xlsxcalls" hidden="1">calls[]</definedName>
    <definedName name="_xlcn.WorksheetConnection_PortfolioProject.xlsxcustomers" hidden="1">customers[]</definedName>
    <definedName name="ExternalData_1" localSheetId="0" hidden="1">Sheet1!$A$3:$M$17</definedName>
    <definedName name="Image">Pivots!$I$66</definedName>
    <definedName name="Slicer_Representative">#N/A</definedName>
  </definedNames>
  <calcPr calcId="191029"/>
  <pivotCaches>
    <pivotCache cacheId="1" r:id="rId6"/>
    <pivotCache cacheId="2" r:id="rId7"/>
    <pivotCache cacheId="3" r:id="rId8"/>
    <pivotCache cacheId="4" r:id="rId9"/>
    <pivotCache cacheId="5" r:id="rId10"/>
    <pivotCache cacheId="6" r:id="rId11"/>
    <pivotCache cacheId="7" r:id="rId12"/>
    <pivotCache cacheId="8" r:id="rId13"/>
    <pivotCache cacheId="9"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PortfolioProject.xlsx!customers"/>
          <x15:modelTable id="calls" name="calls" connection="WorksheetConnection_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6" i="6" l="1"/>
  <c r="N31" i="5" s="1"/>
  <c r="I55" i="6"/>
  <c r="I62" i="6" s="1"/>
  <c r="N32" i="5" s="1"/>
  <c r="I57" i="6"/>
  <c r="I59" i="6" s="1"/>
  <c r="I64" i="6" s="1"/>
  <c r="N34" i="5" s="1"/>
  <c r="I56" i="6"/>
  <c r="I58" i="6" s="1"/>
  <c r="I63" i="6" s="1"/>
  <c r="N33" i="5" s="1"/>
  <c r="C20" i="4"/>
  <c r="Q17" i="5" a="1"/>
  <c r="Q17" i="5" s="1"/>
  <c r="P18" i="5" a="1"/>
  <c r="P18" i="5" s="1"/>
  <c r="I44" i="6"/>
  <c r="I47" i="6" s="1"/>
  <c r="E46" i="6" a="1"/>
  <c r="E46"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9" i="6" l="1"/>
  <c r="I50" i="6"/>
  <c r="H48" i="6"/>
  <c r="I49" i="6"/>
  <c r="H46" i="6"/>
  <c r="H47" i="6"/>
  <c r="I48" i="6"/>
  <c r="H50" i="6"/>
  <c r="I4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3FC0AE-7FE1-4778-B075-9BD765FE8FE5}" keepAlive="1" name="ModelConnection_ExternalData_1" description="Data Model" type="5" refreshedVersion="8" minRefreshableVersion="5" saveData="1">
    <dbPr connection="Data Model Connection" command="DRILLTHROUGH MAXROWS 1000 SELECT FROM [Model] WHERE ((([Measures].[Total Amount],[customers].[City].&amp;[Columbus],[customers].[Customer ID].&amp;[C0009]),[calls].[Representative].&amp;[R01]))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BC64AB14-DABB-4DF5-A3A7-BDFE45BAC9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908ED538-B318-449A-B601-49065F80EFC3}" name="WorksheetConnection_PortfolioProject.xlsx!calls" type="102" refreshedVersion="8" minRefreshableVersion="5">
    <extLst>
      <ext xmlns:x15="http://schemas.microsoft.com/office/spreadsheetml/2010/11/main" uri="{DE250136-89BD-433C-8126-D09CA5730AF9}">
        <x15:connection id="calls" autoDelete="1">
          <x15:rangePr sourceName="_xlcn.WorksheetConnection_PortfolioProject.xlsxcalls"/>
        </x15:connection>
      </ext>
    </extLst>
  </connection>
  <connection id="4" xr16:uid="{6867B93E-0B69-4C27-AC46-E11F6DD51210}" name="WorksheetConnection_PortfolioProject.xlsx!customers" type="102" refreshedVersion="8" minRefreshableVersion="5">
    <extLst>
      <ext xmlns:x15="http://schemas.microsoft.com/office/spreadsheetml/2010/11/main" uri="{DE250136-89BD-433C-8126-D09CA5730AF9}">
        <x15:connection id="customers">
          <x15:rangePr sourceName="_xlcn.WorksheetConnection_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<sst xmlns="http://schemas.openxmlformats.org/spreadsheetml/2006/main" count="3282" uniqueCount="1111">
  <si>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</si>
  <si>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</si>
  <si>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</si>
  <si>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</si>
  <si>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</si>
  <si>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</si>
  <si>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</si>
  <si>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</si>
  <si>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</si>
  <si>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</si>
  <si>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</si>
  <si>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</si>
  <si>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</si>
  <si>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</si>
  <si>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</si>
  <si>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</si>
  <si>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</si>
  <si>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</si>
  <si>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</si>
  <si>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</si>
  <si>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</si>
  <si>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</si>
  <si>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</si>
  <si>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</si>
  <si>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</si>
  <si>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</si>
  <si>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</si>
  <si>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</si>
  <si>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</si>
  <si>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</si>
  <si>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</si>
  <si>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</si>
  <si>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</si>
  <si>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</si>
  <si>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</si>
  <si>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</si>
  <si>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</si>
  <si>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</si>
  <si>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</si>
  <si>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</si>
  <si>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</si>
  <si>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</si>
  <si>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</si>
  <si>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</si>
  <si>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</si>
  <si>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</si>
  <si>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</si>
  <si>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</si>
  <si>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</si>
  <si>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</si>
  <si>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</si>
  <si>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</si>
  <si>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</si>
  <si>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</si>
  <si>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</si>
  <si>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</si>
  <si>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</si>
  <si>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</si>
  <si>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</si>
  <si>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</si>
  <si>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</si>
  <si>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</si>
  <si>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</si>
  <si>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</si>
  <si>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</si>
  <si>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</si>
  <si>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</si>
  <si>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</si>
  <si>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</si>
  <si>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</si>
  <si>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</si>
  <si>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</si>
  <si>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</si>
  <si>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</si>
  <si>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</si>
  <si>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</si>
  <si>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</si>
  <si>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</si>
  <si>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</si>
  <si>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</si>
  <si>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</si>
  <si>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</si>
  <si>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</si>
  <si>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</si>
  <si>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</si>
  <si>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</si>
  <si>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</si>
  <si>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</si>
  <si>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</si>
  <si>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</si>
  <si>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</si>
  <si>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</si>
  <si>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</si>
  <si>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</si>
  <si>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</si>
  <si>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</si>
  <si>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</si>
  <si>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</si>
  <si>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</si>
  <si>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</si>
  <si>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</si>
  <si>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</si>
  <si>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</si>
  <si>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</si>
  <si>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</si>
  <si>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</si>
  <si>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</si>
  <si>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</si>
  <si>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</si>
  <si>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</si>
  <si>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</si>
  <si>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</si>
  <si>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</si>
  <si>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</si>
  <si>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</si>
  <si>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</si>
  <si>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</si>
  <si>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</si>
  <si>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</si>
  <si>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</si>
  <si>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</si>
  <si>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</si>
  <si>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</si>
  <si>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</si>
  <si>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</si>
  <si>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</si>
  <si>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</si>
  <si>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</si>
  <si>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</si>
  <si>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</si>
  <si>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</si>
  <si>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</si>
  <si>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</si>
  <si>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</si>
  <si>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</si>
  <si>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</si>
  <si>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</si>
  <si>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</si>
  <si>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</si>
  <si>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</si>
  <si>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</si>
  <si>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</si>
  <si>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</si>
  <si>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</si>
  <si>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</si>
  <si>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</si>
  <si>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</si>
  <si>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</si>
  <si>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</si>
  <si>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</si>
  <si>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</si>
  <si>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</si>
  <si>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</si>
  <si>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</si>
  <si>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</si>
  <si>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</si>
  <si>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</si>
  <si>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</si>
  <si>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</si>
  <si>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</si>
  <si>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</si>
  <si>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</si>
  <si>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</si>
  <si>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</si>
  <si>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</si>
  <si>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</si>
  <si>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</si>
  <si>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</si>
  <si>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</si>
  <si>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</si>
  <si>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</si>
  <si>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</si>
  <si>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</si>
  <si>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</si>
  <si>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</si>
  <si>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</si>
  <si>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</si>
  <si>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</si>
  <si>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</si>
  <si>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</si>
  <si>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</si>
  <si>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</si>
  <si>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</si>
  <si>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</si>
  <si>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</si>
  <si>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</si>
  <si>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</si>
  <si>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</si>
  <si>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</si>
  <si>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</si>
  <si>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</si>
  <si>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</si>
  <si>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</si>
  <si>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</si>
  <si>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</si>
  <si>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</si>
  <si>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</si>
  <si>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</si>
  <si>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</si>
  <si>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</si>
  <si>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</si>
  <si>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</si>
  <si>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</si>
  <si>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</si>
  <si>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</si>
  <si>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</si>
  <si>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</si>
  <si>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</si>
  <si>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</si>
  <si>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</si>
  <si>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</si>
  <si>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</si>
  <si>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</si>
  <si>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</si>
  <si>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</si>
  <si>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</si>
  <si>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</si>
  <si>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</si>
  <si>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</si>
  <si>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</si>
  <si>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</si>
  <si>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</si>
  <si>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</si>
  <si>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</si>
  <si>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</si>
  <si>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</si>
  <si>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</si>
  <si>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</si>
  <si>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</si>
  <si>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</si>
  <si>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</si>
  <si>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</si>
  <si>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</si>
  <si>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</si>
  <si>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</si>
  <si>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</si>
  <si>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</si>
  <si>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</si>
  <si>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</si>
  <si>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</si>
  <si>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</si>
  <si>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</si>
  <si>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</si>
  <si>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</si>
  <si>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</si>
  <si>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</si>
  <si>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</si>
  <si>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</si>
  <si>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</si>
  <si>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</si>
  <si>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</si>
  <si>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</si>
  <si>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</si>
  <si>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</si>
  <si>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</si>
  <si>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</si>
  <si>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</si>
  <si>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</si>
  <si>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</si>
  <si>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</si>
  <si>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</si>
  <si>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</si>
  <si>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</si>
  <si>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</si>
  <si>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</si>
  <si>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</si>
  <si>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</si>
  <si>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</si>
  <si>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</si>
  <si>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</si>
  <si>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</si>
  <si>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</si>
  <si>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</si>
  <si>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</si>
  <si>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</si>
  <si>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</si>
  <si>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</si>
  <si>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</si>
  <si>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</si>
  <si>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</si>
  <si>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</si>
  <si>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</si>
  <si>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</si>
  <si>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</si>
  <si>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</si>
  <si>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</si>
  <si>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</si>
  <si>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</si>
  <si>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</si>
  <si>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</si>
  <si>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</si>
  <si>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</si>
  <si>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</si>
  <si>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</si>
  <si>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</si>
  <si>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</si>
  <si>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</si>
  <si>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</si>
  <si>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</si>
  <si>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</si>
  <si>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</si>
  <si>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</si>
  <si>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</si>
  <si>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</si>
  <si>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</si>
  <si>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</si>
  <si>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</si>
  <si>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</si>
  <si>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</si>
  <si>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</si>
  <si>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</si>
  <si>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</si>
  <si>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</si>
  <si>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</si>
  <si>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</si>
  <si>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</si>
  <si>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</si>
  <si>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</si>
  <si>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</si>
  <si>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</si>
  <si>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</si>
  <si>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</si>
  <si>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</si>
  <si>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</si>
  <si>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</si>
  <si>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</si>
  <si>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</si>
  <si>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</si>
  <si>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</si>
  <si>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</si>
  <si>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</si>
  <si>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</si>
  <si>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</si>
  <si>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</si>
  <si>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</si>
  <si>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</si>
  <si>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</si>
  <si>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</si>
  <si>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</si>
  <si>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</si>
  <si>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</si>
  <si>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</si>
  <si>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</si>
  <si>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</si>
  <si>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</si>
  <si>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</si>
  <si>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</si>
  <si>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</si>
  <si>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</si>
  <si>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</si>
  <si>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</si>
  <si>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</si>
  <si>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</si>
  <si>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</si>
  <si>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</si>
  <si>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</si>
  <si>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</si>
  <si>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</si>
  <si>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</si>
  <si>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</si>
  <si>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</si>
  <si>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</si>
  <si>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</si>
  <si>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</si>
  <si>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</si>
  <si>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</si>
  <si>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</si>
  <si>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</si>
  <si>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</si>
  <si>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</si>
  <si>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</si>
  <si>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</si>
  <si>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</si>
  <si>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</si>
  <si>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</si>
  <si>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</si>
  <si>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</si>
  <si>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</si>
  <si>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</si>
  <si>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</si>
  <si>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</si>
  <si>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</si>
  <si>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</si>
  <si>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</si>
  <si>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</si>
  <si>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</si>
  <si>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</si>
  <si>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</si>
  <si>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</si>
  <si>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</si>
  <si>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</si>
  <si>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</si>
  <si>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</si>
  <si>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</si>
  <si>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</si>
  <si>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</si>
  <si>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</si>
  <si>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</si>
  <si>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</si>
  <si>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</si>
  <si>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</si>
  <si>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</si>
  <si>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</si>
  <si>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</si>
  <si>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</si>
  <si>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</si>
  <si>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</si>
  <si>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</si>
  <si>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</si>
  <si>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</si>
  <si>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</si>
  <si>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</si>
  <si>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</si>
  <si>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</si>
  <si>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</si>
  <si>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</si>
  <si>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</si>
  <si>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</si>
  <si>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</si>
  <si>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</si>
  <si>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</si>
  <si>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</si>
  <si>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</si>
  <si>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</si>
  <si>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</si>
  <si>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</si>
  <si>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</si>
  <si>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</si>
  <si>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</si>
  <si>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</si>
  <si>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</si>
  <si>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</si>
  <si>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</si>
  <si>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</si>
  <si>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</si>
  <si>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</si>
  <si>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</si>
  <si>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</si>
  <si>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</si>
  <si>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</si>
  <si>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</si>
  <si>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</si>
  <si>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</si>
  <si>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</si>
  <si>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</si>
  <si>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</si>
  <si>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</si>
  <si>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</si>
  <si>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</si>
  <si>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</si>
  <si>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</si>
  <si>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</si>
  <si>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</si>
  <si>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</si>
  <si>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</si>
  <si>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</si>
  <si>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</si>
  <si>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</si>
  <si>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</si>
  <si>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</si>
  <si>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</si>
  <si>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</si>
  <si>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</si>
  <si>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</si>
  <si>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</si>
  <si>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</si>
  <si>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</si>
  <si>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</si>
  <si>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</si>
  <si>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</si>
  <si>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</si>
  <si>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</si>
  <si>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</si>
  <si>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</si>
  <si>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</si>
  <si>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</si>
  <si>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</si>
  <si>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</si>
  <si>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</si>
  <si>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</si>
  <si>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</si>
  <si>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</si>
  <si>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</si>
  <si>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</si>
  <si>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</si>
  <si>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</si>
  <si>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</si>
  <si>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</si>
  <si>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</si>
  <si>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</si>
  <si>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</si>
  <si>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</si>
  <si>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</si>
  <si>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</si>
  <si>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</si>
  <si>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</si>
  <si>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</si>
  <si>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</si>
  <si>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</si>
  <si>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</si>
  <si>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</si>
  <si>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</si>
  <si>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</si>
  <si>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</si>
  <si>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</si>
  <si>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</si>
  <si>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</si>
  <si>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</si>
  <si>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</si>
  <si>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</si>
  <si>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</si>
  <si>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</si>
  <si>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</si>
  <si>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</si>
  <si>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</si>
  <si>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</si>
  <si>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</si>
  <si>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</si>
  <si>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</si>
  <si>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</si>
  <si>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</si>
  <si>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</si>
  <si>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</si>
  <si>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</si>
  <si>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</si>
  <si>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</si>
  <si>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</si>
  <si>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</si>
  <si>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</si>
  <si>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</si>
  <si>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</si>
  <si>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</si>
  <si>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</si>
  <si>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</si>
  <si>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</si>
  <si>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</si>
  <si>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</si>
  <si>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</si>
  <si>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</si>
  <si>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</si>
  <si>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</si>
  <si>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</si>
  <si>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</si>
  <si>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</si>
  <si>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</si>
  <si>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</si>
  <si>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</si>
  <si>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</si>
  <si>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</si>
  <si>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</si>
  <si>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</si>
  <si>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</si>
  <si>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</si>
  <si>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</si>
  <si>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</si>
  <si>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</si>
  <si>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</si>
  <si>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</si>
  <si>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</si>
  <si>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</si>
  <si>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</si>
  <si>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</si>
  <si>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</si>
  <si>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</si>
  <si>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</si>
  <si>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</si>
  <si>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</si>
  <si>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</si>
  <si>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</si>
  <si>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</si>
  <si>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</si>
  <si>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</si>
  <si>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</si>
  <si>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</si>
  <si>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</si>
  <si>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</si>
  <si>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</si>
  <si>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</si>
  <si>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</si>
  <si>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</si>
  <si>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</si>
  <si>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</si>
  <si>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</si>
  <si>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</si>
  <si>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</si>
  <si>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</si>
  <si>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</si>
  <si>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</si>
  <si>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</si>
  <si>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</si>
  <si>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</si>
  <si>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</si>
  <si>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</si>
  <si>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</si>
  <si>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</si>
  <si>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</si>
  <si>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</si>
  <si>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</si>
  <si>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</si>
  <si>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</si>
  <si>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</si>
  <si>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</si>
  <si>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</si>
  <si>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</si>
  <si>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</si>
  <si>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</si>
  <si>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</si>
  <si>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</si>
  <si>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</si>
  <si>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</si>
  <si>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</si>
  <si>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</si>
  <si>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</si>
  <si>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</si>
  <si>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</si>
  <si>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</si>
  <si>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</si>
  <si>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</si>
  <si>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</si>
  <si>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</si>
  <si>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</si>
  <si>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</si>
  <si>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</si>
  <si>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</si>
  <si>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</si>
  <si>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</si>
  <si>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</si>
  <si>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</si>
  <si>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</si>
  <si>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</si>
  <si>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</si>
  <si>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</si>
  <si>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</si>
  <si>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</si>
  <si>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</si>
  <si>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</si>
  <si>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</si>
  <si>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</si>
  <si>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</si>
  <si>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</si>
  <si>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</si>
  <si>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</si>
  <si>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</si>
  <si>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</si>
  <si>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</si>
  <si>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</si>
  <si>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</si>
  <si>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</si>
  <si>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</si>
  <si>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</si>
  <si>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</si>
  <si>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</si>
  <si>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</si>
  <si>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</si>
  <si>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</si>
  <si>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</si>
  <si>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</si>
  <si>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</si>
  <si>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</si>
  <si>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</si>
  <si>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</si>
  <si>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</si>
  <si>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</si>
  <si>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</si>
  <si>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</si>
  <si>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</si>
  <si>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</si>
  <si>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</si>
  <si>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</si>
  <si>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</si>
  <si>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</si>
  <si>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</si>
  <si>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</si>
  <si>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</si>
  <si>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</si>
  <si>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</si>
  <si>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</si>
  <si>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</si>
  <si>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</si>
  <si>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</si>
  <si>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</si>
  <si>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</si>
  <si>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</si>
  <si>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</si>
  <si>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</si>
  <si>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</si>
  <si>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</si>
  <si>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</si>
  <si>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</si>
  <si>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</si>
  <si>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</si>
  <si>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</si>
  <si>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</si>
  <si>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</si>
  <si>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</si>
  <si>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</si>
  <si>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</si>
  <si>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</si>
  <si>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</si>
  <si>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</si>
  <si>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</si>
  <si>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</si>
  <si>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</si>
  <si>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</si>
  <si>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</si>
  <si>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</si>
  <si>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</si>
  <si>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</si>
  <si>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</si>
  <si>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</si>
  <si>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</si>
  <si>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</si>
  <si>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</si>
  <si>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</si>
  <si>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</si>
  <si>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</si>
  <si>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</si>
  <si>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</si>
  <si>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</si>
  <si>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</si>
  <si>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</si>
  <si>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</si>
  <si>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</si>
  <si>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</si>
  <si>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</si>
  <si>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</si>
  <si>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</si>
  <si>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</si>
  <si>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</si>
  <si>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</si>
  <si>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</si>
  <si>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</si>
  <si>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</si>
  <si>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</si>
  <si>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</si>
  <si>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</si>
  <si>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</si>
  <si>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</si>
  <si>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</si>
  <si>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</si>
  <si>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</si>
  <si>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</si>
  <si>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</si>
  <si>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</si>
  <si>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</si>
  <si>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</si>
  <si>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</si>
  <si>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</si>
  <si>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</si>
  <si>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</si>
  <si>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</si>
  <si>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</si>
  <si>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</si>
  <si>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</si>
  <si>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</si>
  <si>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</si>
  <si>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</si>
  <si>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</si>
  <si>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</si>
  <si>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</si>
  <si>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</si>
  <si>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</si>
  <si>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</si>
  <si>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</si>
  <si>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</si>
  <si>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</si>
  <si>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</si>
  <si>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</si>
  <si>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</si>
  <si>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</si>
  <si>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</si>
  <si>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</si>
  <si>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</si>
  <si>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</si>
  <si>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</si>
  <si>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</si>
  <si>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</si>
  <si>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</si>
  <si>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</si>
  <si>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</si>
  <si>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</si>
  <si>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</si>
  <si>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</si>
  <si>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</si>
  <si>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</si>
  <si>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</si>
  <si>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</si>
  <si>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</si>
  <si>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</si>
  <si>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</si>
  <si>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</si>
  <si>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</si>
  <si>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</si>
  <si>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</si>
  <si>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</si>
  <si>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</si>
  <si>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</si>
  <si>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</si>
  <si>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</si>
  <si>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</si>
  <si>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</si>
  <si>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</si>
  <si>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</si>
  <si>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</si>
  <si>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</si>
  <si>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</si>
  <si>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</si>
  <si>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</si>
  <si>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</si>
  <si>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</si>
  <si>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</si>
  <si>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</si>
  <si>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</si>
  <si>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</si>
  <si>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</si>
  <si>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</si>
  <si>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</si>
  <si>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</si>
  <si>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</si>
  <si>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</si>
  <si>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</si>
  <si>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</si>
  <si>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</si>
  <si>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</si>
  <si>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</si>
  <si>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</si>
  <si>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</si>
  <si>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</si>
  <si>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</si>
  <si>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</si>
  <si>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</si>
  <si>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</si>
  <si>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</si>
  <si>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</si>
  <si>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</si>
  <si>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</si>
  <si>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</si>
  <si>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</si>
  <si>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</si>
  <si>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</si>
  <si>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</si>
  <si>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</si>
  <si>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</si>
  <si>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</si>
  <si>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</si>
  <si>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</si>
  <si>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</si>
  <si>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</si>
  <si>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</si>
  <si>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</si>
  <si>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</si>
  <si>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</si>
  <si>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</si>
  <si>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</si>
  <si>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</si>
  <si>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</si>
  <si>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</si>
  <si>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</si>
  <si>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</si>
  <si>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</si>
  <si>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</si>
  <si>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</si>
  <si>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</si>
  <si>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</si>
  <si>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</si>
  <si>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</si>
  <si>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</si>
  <si>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</si>
  <si>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</si>
  <si>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</si>
  <si>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</si>
  <si>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</si>
  <si>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</si>
  <si>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</si>
  <si>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</si>
  <si>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</si>
  <si>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</si>
  <si>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</si>
  <si>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</si>
  <si>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</si>
  <si>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</si>
  <si>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</si>
  <si>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</si>
  <si>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</si>
  <si>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</si>
  <si>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</si>
  <si>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</si>
  <si>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</si>
  <si>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</si>
  <si>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</si>
  <si>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</si>
  <si>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</si>
  <si>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</si>
  <si>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</si>
  <si>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</si>
  <si>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</si>
  <si>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</si>
  <si>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</si>
  <si>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</si>
  <si>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</si>
  <si>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</si>
  <si>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</si>
  <si>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</si>
  <si>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</si>
  <si>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</si>
  <si>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</si>
  <si>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</si>
  <si>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</si>
  <si>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</si>
  <si>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</si>
  <si>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</si>
  <si>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</si>
  <si>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</si>
  <si>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</si>
  <si>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</si>
  <si>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</si>
  <si>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</si>
  <si>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</si>
  <si>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</si>
  <si>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</si>
  <si>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</si>
  <si>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</si>
  <si>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</si>
  <si>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</si>
  <si>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</si>
  <si>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</si>
  <si>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</si>
  <si>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</si>
  <si>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</si>
  <si>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</si>
  <si>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</si>
  <si>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</si>
  <si>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</si>
  <si>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</si>
  <si>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</si>
  <si>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</si>
  <si>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</si>
  <si>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</si>
  <si>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</si>
  <si>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</si>
  <si>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</si>
  <si>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</si>
  <si>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</si>
  <si>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</si>
  <si>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</si>
  <si>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</si>
  <si>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</si>
  <si>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</si>
  <si>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</si>
  <si>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</si>
  <si>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</si>
  <si>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</si>
  <si>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</si>
  <si>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</si>
  <si>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</si>
  <si>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</si>
  <si>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</si>
  <si>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</si>
  <si>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</si>
  <si>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</si>
  <si>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</si>
  <si>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</si>
  <si>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</si>
  <si>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</si>
  <si>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</si>
  <si>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</si>
  <si>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</si>
  <si>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</si>
  <si>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</si>
  <si>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</si>
  <si>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</si>
  <si>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</si>
  <si>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</si>
  <si>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</si>
  <si>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</si>
  <si>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</si>
  <si>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</si>
  <si>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</si>
  <si>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</si>
  <si>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</si>
  <si>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</si>
  <si>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</si>
  <si>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</si>
  <si>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</si>
  <si>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</si>
  <si>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</si>
  <si>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</si>
  <si>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</si>
  <si>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</si>
  <si>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</si>
  <si>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</si>
  <si>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</si>
  <si>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</si>
  <si>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</si>
  <si>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</si>
  <si>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</si>
  <si>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</si>
  <si>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</si>
  <si>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</si>
  <si>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</si>
  <si>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</si>
  <si>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</si>
  <si>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</si>
  <si>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</si>
  <si>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</si>
  <si>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</si>
  <si>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</si>
  <si>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</si>
  <si>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</si>
  <si>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</si>
  <si>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</si>
  <si>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</si>
  <si>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</si>
  <si>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</si>
  <si>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</si>
  <si>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</si>
  <si>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</si>
  <si>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</si>
  <si>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</si>
  <si>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</si>
  <si>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</si>
  <si>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</si>
  <si>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</si>
  <si>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</si>
  <si>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</si>
  <si>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</si>
  <si>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</si>
  <si>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</si>
  <si>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</si>
  <si>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</si>
  <si>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</si>
  <si>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</si>
  <si>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</si>
  <si>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</si>
  <si>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</si>
  <si>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</si>
  <si>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</si>
  <si>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</si>
  <si>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</si>
  <si>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</si>
  <si>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</si>
  <si>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</si>
  <si>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</si>
  <si>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</si>
  <si>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</si>
  <si>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Avg.Rating</t>
  </si>
  <si>
    <t>5 * Rating Calls</t>
  </si>
  <si>
    <t>Copying this above pivot just for getting slicer connection</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</si>
  <si>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</si>
  <si>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</si>
  <si>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</si>
  <si>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</si>
  <si>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</si>
  <si>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</si>
  <si>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</si>
  <si>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</si>
  <si>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</si>
  <si>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</si>
  <si>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</si>
  <si>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</si>
  <si>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</si>
  <si>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</si>
  <si>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</si>
  <si>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</si>
  <si>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</si>
  <si>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</si>
  <si>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</si>
  <si>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</si>
  <si>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</si>
  <si>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</si>
  <si>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</si>
  <si>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 xml:space="preserve"> </t>
  </si>
  <si>
    <t>Rep</t>
  </si>
  <si>
    <t>Calls</t>
  </si>
  <si>
    <t>Amount</t>
  </si>
  <si>
    <t>Sel.Calls</t>
  </si>
  <si>
    <t>Sel.Amount</t>
  </si>
  <si>
    <t>Selected rep</t>
  </si>
  <si>
    <t>Column Labels</t>
  </si>
  <si>
    <t>Count of Call number</t>
  </si>
  <si>
    <t xml:space="preserve"> will be pasting as link so that it wont appear same as a pivot</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</si>
  <si>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</si>
  <si>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</si>
  <si>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</si>
  <si>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</si>
  <si>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</si>
  <si>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</si>
  <si>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</si>
  <si>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</si>
  <si>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</si>
  <si>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</si>
  <si>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</si>
  <si>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</si>
  <si>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</si>
  <si>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More than 2 hours</t>
  </si>
  <si>
    <t>1 to 2 hours</t>
  </si>
  <si>
    <t>10 to 30 mins</t>
  </si>
  <si>
    <t>30 to 60 mins</t>
  </si>
  <si>
    <t>Data returned for Total Amount, Columbus - C0009, R01 (First 1000 rows).</t>
  </si>
  <si>
    <t>TOTAL</t>
  </si>
  <si>
    <t>Rep summary</t>
  </si>
  <si>
    <t>% Calls</t>
  </si>
  <si>
    <t>Call Rank</t>
  </si>
  <si>
    <t>Amount rnk</t>
  </si>
  <si>
    <t>Labels:</t>
  </si>
  <si>
    <t>Image:</t>
  </si>
  <si>
    <t>Image Name</t>
  </si>
  <si>
    <t>R02pic</t>
  </si>
  <si>
    <t>R01pic</t>
  </si>
  <si>
    <t>R03pic</t>
  </si>
  <si>
    <t>Call Centre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</si>
</sst>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C09]#,##0"/>
  </numFmts>
  <fonts count="11" x14ac:knownFonts="1">
    <font>
      <sz val="11"/>
      <color theme="1"/>
      <name val="Aptos Display"/>
      <family val="2"/>
      <scheme val="minor"/>
    </font>
    <font>
      <b/>
      <sz val="11"/>
      <color theme="1"/>
      <name val="Aptos Display"/>
      <family val="2"/>
      <scheme val="minor"/>
    </font>
    <font>
      <sz val="8"/>
      <name val="Aptos Display"/>
      <family val="2"/>
      <scheme val="minor"/>
    </font>
    <font>
      <sz val="18"/>
      <color theme="1"/>
      <name val="Aptos ExtraBold"/>
      <family val="2"/>
    </font>
    <font>
      <sz val="10"/>
      <color theme="1"/>
      <name val="Aptos Display"/>
      <family val="2"/>
      <scheme val="minor"/>
    </font>
    <font>
      <b/>
      <sz val="10"/>
      <color theme="1"/>
      <name val="Aptos Display"/>
      <family val="2"/>
      <scheme val="minor"/>
    </font>
    <font>
      <sz val="11"/>
      <color theme="1"/>
      <name val="Aptos Display"/>
      <family val="2"/>
      <scheme val="minor"/>
    </font>
    <font>
      <sz val="10"/>
      <color theme="3" tint="-0.249977111117893"/>
      <name val="Aptos Display"/>
      <family val="2"/>
      <scheme val="minor"/>
    </font>
    <font>
      <b/>
      <sz val="16"/>
      <color theme="9" tint="-0.499984740745262"/>
      <name val="Arial Black"/>
      <family val="2"/>
      <scheme val="major"/>
    </font>
    <font>
      <sz val="16"/>
      <color theme="1"/>
      <name val="Arial Black"/>
      <family val="2"/>
      <scheme val="major"/>
    </font>
    <font>
      <sz val="11"/>
      <color theme="0" tint="-4.9989318521683403E-2"/>
      <name val="Arial Black"/>
      <family val="2"/>
      <scheme val="major"/>
    </font>
  </fonts>
  <fills count="9">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0.249977111117893"/>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xf numFmtId="9" fontId="6" fillId="0" borderId="0" applyFont="0" applyFill="0" applyBorder="0" applyAlignment="0" applyProtection="0"/>
  </cellStyleXfs>
  <cellXfs count="5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1" fillId="5" borderId="10" xfId="0" applyFont="1" applyFill="1" applyBorder="1"/>
    <xf numFmtId="0" fontId="0" fillId="0" borderId="0" xfId="0" applyAlignment="1">
      <alignment horizontal="left" indent="1"/>
    </xf>
    <xf numFmtId="14" fontId="0" fillId="0" borderId="0" xfId="0" applyNumberFormat="1"/>
    <xf numFmtId="0" fontId="4" fillId="6" borderId="0" xfId="0" applyFont="1" applyFill="1"/>
    <xf numFmtId="168" fontId="4" fillId="6" borderId="0" xfId="0" applyNumberFormat="1" applyFont="1" applyFill="1"/>
    <xf numFmtId="0" fontId="0" fillId="6" borderId="9" xfId="0" applyFill="1" applyBorder="1"/>
    <xf numFmtId="0" fontId="0" fillId="6" borderId="11" xfId="0" applyFill="1" applyBorder="1"/>
    <xf numFmtId="0" fontId="0" fillId="6" borderId="7" xfId="0" applyFill="1" applyBorder="1"/>
    <xf numFmtId="0" fontId="4" fillId="6" borderId="13" xfId="0" applyFont="1" applyFill="1" applyBorder="1"/>
    <xf numFmtId="0" fontId="4" fillId="6" borderId="12" xfId="0" applyFont="1" applyFill="1" applyBorder="1" applyAlignment="1">
      <alignment horizontal="left" indent="1"/>
    </xf>
    <xf numFmtId="168" fontId="4" fillId="6" borderId="13" xfId="0" applyNumberFormat="1" applyFont="1" applyFill="1" applyBorder="1"/>
    <xf numFmtId="0" fontId="4" fillId="6" borderId="6" xfId="0" applyFont="1" applyFill="1" applyBorder="1" applyAlignment="1">
      <alignment horizontal="left" indent="1"/>
    </xf>
    <xf numFmtId="168" fontId="4" fillId="6" borderId="14" xfId="0" applyNumberFormat="1" applyFont="1" applyFill="1" applyBorder="1"/>
    <xf numFmtId="168" fontId="4" fillId="6" borderId="4" xfId="0" applyNumberFormat="1" applyFont="1" applyFill="1" applyBorder="1"/>
    <xf numFmtId="0" fontId="1" fillId="6" borderId="6" xfId="0" applyFont="1" applyFill="1" applyBorder="1"/>
    <xf numFmtId="0" fontId="1" fillId="6" borderId="14" xfId="0" applyFont="1" applyFill="1" applyBorder="1"/>
    <xf numFmtId="0" fontId="1" fillId="6" borderId="4" xfId="0" applyFont="1" applyFill="1" applyBorder="1"/>
    <xf numFmtId="0" fontId="5" fillId="7" borderId="12" xfId="0" applyFont="1" applyFill="1" applyBorder="1"/>
    <xf numFmtId="9" fontId="0" fillId="0" borderId="0" xfId="1" applyFont="1"/>
    <xf numFmtId="0" fontId="0" fillId="3" borderId="0" xfId="0" applyFill="1" applyAlignment="1">
      <alignment horizontal="left" vertical="center"/>
    </xf>
    <xf numFmtId="0" fontId="8" fillId="3" borderId="0" xfId="0" applyFont="1" applyFill="1" applyAlignment="1">
      <alignment horizontal="left" vertical="center"/>
    </xf>
    <xf numFmtId="0" fontId="9" fillId="3" borderId="0" xfId="0" applyFont="1" applyFill="1" applyAlignment="1">
      <alignment horizontal="left" vertical="center"/>
    </xf>
    <xf numFmtId="0" fontId="10" fillId="3" borderId="0" xfId="0" applyFont="1" applyFill="1" applyAlignment="1">
      <alignment horizontal="left" vertical="center"/>
    </xf>
    <xf numFmtId="0" fontId="1" fillId="8" borderId="9" xfId="0" applyFont="1" applyFill="1" applyBorder="1" applyAlignment="1">
      <alignment horizontal="center"/>
    </xf>
    <xf numFmtId="0" fontId="1" fillId="8" borderId="7" xfId="0" applyFont="1" applyFill="1" applyBorder="1" applyAlignment="1">
      <alignment horizontal="center"/>
    </xf>
    <xf numFmtId="0" fontId="7" fillId="8" borderId="12" xfId="0" applyFont="1" applyFill="1" applyBorder="1" applyAlignment="1">
      <alignment horizontal="center"/>
    </xf>
    <xf numFmtId="0" fontId="7" fillId="8" borderId="13" xfId="0" applyFont="1" applyFill="1" applyBorder="1" applyAlignment="1">
      <alignment horizontal="center"/>
    </xf>
    <xf numFmtId="0" fontId="7" fillId="8" borderId="6" xfId="0" applyFont="1" applyFill="1" applyBorder="1" applyAlignment="1">
      <alignment horizontal="center"/>
    </xf>
    <xf numFmtId="0" fontId="7" fillId="8" borderId="4" xfId="0" applyFont="1" applyFill="1" applyBorder="1" applyAlignment="1">
      <alignment horizontal="center"/>
    </xf>
    <xf numFmtId="0" fontId="0" fillId="3" borderId="0" xfId="0" applyFill="1"/>
    <xf numFmtId="0" fontId="0" fillId="3" borderId="13" xfId="0" applyFill="1" applyBorder="1"/>
  </cellXfs>
  <cellStyles count="2">
    <cellStyle name="Normal" xfId="0" builtinId="0"/>
    <cellStyle name="Percent" xfId="1" builtinId="5"/>
  </cellStyles>
  <dxfs count="20">
    <dxf>
      <fill>
        <patternFill>
          <bgColor theme="9" tint="0.59996337778862885"/>
        </patternFill>
      </fill>
      <border>
        <left style="thin">
          <color theme="8" tint="-0.499984740745262"/>
        </left>
        <right style="thin">
          <color theme="8" tint="-0.499984740745262"/>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Display"/>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tint="0.59999389629810485"/>
        </patternFill>
      </fill>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9"/>
    </tableStyle>
    <tableStyle name="SlicerStyleDark5 2" pivot="0" table="0" count="10" xr9:uid="{AD47E305-3DEF-4232-A944-71C987D02AB4}">
      <tableStyleElement type="wholeTable" dxfId="18"/>
      <tableStyleElement type="headerRow" dxfId="17"/>
    </tableStyle>
  </tableStyles>
  <extLst>
    <ext xmlns:x14="http://schemas.microsoft.com/office/spreadsheetml/2009/9/main" uri="{46F421CA-312F-682f-3DD2-61675219B42D}">
      <x14:dxfs count="8">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59996337778862885"/>
            </pattern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9" tint="-0.24994659260841701"/>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val="0"/>
            <i val="0"/>
            <color rgb="FF000000"/>
          </font>
          <fill>
            <patternFill patternType="none">
              <fgColor indexed="64"/>
              <bgColor auto="1"/>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[PortfolioProject.xlsx]Pivots!WeekDay 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pivotFmt>
    </c:pivotFmts>
    <c:plotArea>
      <c:layout>
        <c:manualLayout>
          <c:layoutTarget val="inner"/>
          <c:xMode val="edge"/>
          <c:yMode val="edge"/>
          <c:x val="0.45110750862024607"/>
          <c:y val="9.8425196850393706E-2"/>
          <c:w val="0.54889249137975404"/>
          <c:h val="0.85564304461942253"/>
        </c:manualLayout>
      </c:layout>
      <c:barChart>
        <c:barDir val="bar"/>
        <c:grouping val="clustered"/>
        <c:varyColors val="0"/>
        <c:ser>
          <c:idx val="0"/>
          <c:order val="0"/>
          <c:tx>
            <c:strRef>
              <c:f>Pivots!$B$31</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Pivots!$A$32:$A$39</c:f>
              <c:strCache>
                <c:ptCount val="7"/>
                <c:pt idx="0">
                  <c:v>Sunday</c:v>
                </c:pt>
                <c:pt idx="1">
                  <c:v>Monday</c:v>
                </c:pt>
                <c:pt idx="2">
                  <c:v>Tuesday</c:v>
                </c:pt>
                <c:pt idx="3">
                  <c:v>Wednesday</c:v>
                </c:pt>
                <c:pt idx="4">
                  <c:v>Thursday</c:v>
                </c:pt>
                <c:pt idx="5">
                  <c:v>Friday</c:v>
                </c:pt>
                <c:pt idx="6">
                  <c:v>Saturday</c:v>
                </c:pt>
              </c:strCache>
            </c:strRef>
          </c:cat>
          <c:val>
            <c:numRef>
              <c:f>Pivots!$B$32:$B$39</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2791-45BE-BCB7-A394C264D81C}"/>
            </c:ext>
          </c:extLst>
        </c:ser>
        <c:dLbls>
          <c:dLblPos val="outEnd"/>
          <c:showLegendKey val="0"/>
          <c:showVal val="1"/>
          <c:showCatName val="0"/>
          <c:showSerName val="0"/>
          <c:showPercent val="0"/>
          <c:showBubbleSize val="0"/>
        </c:dLbls>
        <c:gapWidth val="30"/>
        <c:axId val="1400199183"/>
        <c:axId val="1400176143"/>
      </c:barChart>
      <c:catAx>
        <c:axId val="14001991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176143"/>
        <c:crosses val="autoZero"/>
        <c:auto val="1"/>
        <c:lblAlgn val="ctr"/>
        <c:lblOffset val="100"/>
        <c:noMultiLvlLbl val="0"/>
      </c:catAx>
      <c:valAx>
        <c:axId val="1400176143"/>
        <c:scaling>
          <c:orientation val="minMax"/>
        </c:scaling>
        <c:delete val="1"/>
        <c:axPos val="b"/>
        <c:numFmt formatCode="#,##0" sourceLinked="1"/>
        <c:majorTickMark val="out"/>
        <c:minorTickMark val="none"/>
        <c:tickLblPos val="nextTo"/>
        <c:crossAx val="140019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[PortfolioProject.xlsx]Pivots!Monthly Trend</c:name>
    <c:fmtId val="9"/>
  </c:pivotSource>
  <c:chart>
    <c:title>
      <c:tx>
        <c:rich>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r>
              <a:rPr lang="en-US" b="1">
                <a:solidFill>
                  <a:schemeClr val="accent5">
                    <a:lumMod val="50000"/>
                  </a:schemeClr>
                </a:solidFill>
              </a:rPr>
              <a:t>Call Trend</a:t>
            </a:r>
          </a:p>
        </c:rich>
      </c:tx>
      <c:layout>
        <c:manualLayout>
          <c:xMode val="edge"/>
          <c:yMode val="edge"/>
          <c:x val="3.0771055386249611E-2"/>
          <c:y val="3.35570469798657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pivotFmt>
    </c:pivotFmts>
    <c:plotArea>
      <c:layout/>
      <c:areaChart>
        <c:grouping val="standard"/>
        <c:varyColors val="0"/>
        <c:ser>
          <c:idx val="1"/>
          <c:order val="1"/>
          <c:tx>
            <c:strRef>
              <c:f>Pivots!$C$15</c:f>
              <c:strCache>
                <c:ptCount val="1"/>
                <c:pt idx="0">
                  <c:v>Call Count2</c:v>
                </c:pt>
              </c:strCache>
            </c:strRef>
          </c:tx>
          <c:spPr>
            <a:gradFill flip="none" rotWithShape="1">
              <a:gsLst>
                <a:gs pos="0">
                  <a:schemeClr val="accent6">
                    <a:lumMod val="60000"/>
                    <a:lumOff val="40000"/>
                    <a:alpha val="50000"/>
                  </a:schemeClr>
                </a:gs>
                <a:gs pos="100000">
                  <a:schemeClr val="accent6"/>
                </a:gs>
              </a:gsLst>
              <a:lin ang="16200000" scaled="1"/>
              <a:tileRect/>
            </a:gradFill>
            <a:ln>
              <a:no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7C4A-429A-8203-2DA9332ED80E}"/>
            </c:ext>
          </c:extLst>
        </c:ser>
        <c:dLbls>
          <c:showLegendKey val="0"/>
          <c:showVal val="0"/>
          <c:showCatName val="0"/>
          <c:showSerName val="0"/>
          <c:showPercent val="0"/>
          <c:showBubbleSize val="0"/>
        </c:dLbls>
        <c:axId val="766647280"/>
        <c:axId val="766644400"/>
      </c:areaChart>
      <c:lineChart>
        <c:grouping val="standard"/>
        <c:varyColors val="0"/>
        <c:ser>
          <c:idx val="0"/>
          <c:order val="0"/>
          <c:tx>
            <c:strRef>
              <c:f>Pivots!$B$15</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65000"/>
                    <a:lumOff val="35000"/>
                  </a:schemeClr>
                </a:solidFill>
              </a:ln>
              <a:effectLst/>
            </c:spPr>
          </c:marke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7C4A-429A-8203-2DA9332ED80E}"/>
            </c:ext>
          </c:extLst>
        </c:ser>
        <c:dLbls>
          <c:showLegendKey val="0"/>
          <c:showVal val="0"/>
          <c:showCatName val="0"/>
          <c:showSerName val="0"/>
          <c:showPercent val="0"/>
          <c:showBubbleSize val="0"/>
        </c:dLbls>
        <c:marker val="1"/>
        <c:smooth val="0"/>
        <c:axId val="766647280"/>
        <c:axId val="766644400"/>
      </c:lineChart>
      <c:catAx>
        <c:axId val="76664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44400"/>
        <c:crosses val="autoZero"/>
        <c:auto val="1"/>
        <c:lblAlgn val="ctr"/>
        <c:lblOffset val="100"/>
        <c:noMultiLvlLbl val="0"/>
      </c:catAx>
      <c:valAx>
        <c:axId val="766644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647280"/>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Calls</a:t>
            </a:r>
          </a:p>
        </c:rich>
      </c:tx>
      <c:layout>
        <c:manualLayout>
          <c:xMode val="edge"/>
          <c:yMode val="edge"/>
          <c:x val="9.4779218774123805E-2"/>
          <c:y val="3.92817059483726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0.14967770572796046"/>
          <c:y val="0.1718504906867874"/>
          <c:w val="0.80130268642890223"/>
          <c:h val="0.76734682685728905"/>
        </c:manualLayout>
      </c:layout>
      <c:barChart>
        <c:barDir val="bar"/>
        <c:grouping val="clustered"/>
        <c:varyColors val="0"/>
        <c:ser>
          <c:idx val="0"/>
          <c:order val="0"/>
          <c:spPr>
            <a:solidFill>
              <a:schemeClr val="bg1">
                <a:lumMod val="65000"/>
              </a:schemeClr>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Pivots!$F$46:$F$50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02A-41AE-B5B8-300D07A9F5CC}"/>
            </c:ext>
          </c:extLst>
        </c:ser>
        <c:ser>
          <c:idx val="1"/>
          <c:order val="1"/>
          <c:tx>
            <c:strRef>
              <c:f>Pivots!$H$45</c:f>
              <c:strCache>
                <c:ptCount val="1"/>
                <c:pt idx="0">
                  <c:v>Sel.Calls</c:v>
                </c:pt>
              </c:strCache>
            </c:strRef>
          </c:tx>
          <c:spPr>
            <a:gradFill>
              <a:gsLst>
                <a:gs pos="0">
                  <a:schemeClr val="accent6">
                    <a:lumMod val="20000"/>
                    <a:lumOff val="80000"/>
                  </a:schemeClr>
                </a:gs>
                <a:gs pos="100000">
                  <a:schemeClr val="accent6">
                    <a:lumMod val="75000"/>
                  </a:schemeClr>
                </a:gs>
              </a:gsLst>
              <a:lin ang="0" scaled="1"/>
            </a:gradFill>
            <a:ln>
              <a:noFill/>
            </a:ln>
            <a:effectLst/>
          </c:spPr>
          <c:invertIfNegative val="0"/>
          <c:dPt>
            <c:idx val="1"/>
            <c:invertIfNegative val="0"/>
            <c:bubble3D val="0"/>
            <c:spPr>
              <a:gradFill flip="none" rotWithShape="1">
                <a:gsLst>
                  <a:gs pos="0">
                    <a:schemeClr val="accent6">
                      <a:lumMod val="20000"/>
                      <a:lumOff val="80000"/>
                    </a:schemeClr>
                  </a:gs>
                  <a:gs pos="100000">
                    <a:schemeClr val="accent6">
                      <a:lumMod val="75000"/>
                    </a:schemeClr>
                  </a:gs>
                </a:gsLst>
                <a:lin ang="0" scaled="1"/>
                <a:tileRect/>
              </a:gradFill>
              <a:ln>
                <a:noFill/>
              </a:ln>
              <a:effectLst/>
            </c:spPr>
            <c:extLst>
              <c:ext xmlns:c16="http://schemas.microsoft.com/office/drawing/2014/chart" uri="{C3380CC4-5D6E-409C-BE32-E72D297353CC}">
                <c16:uniqueId val="{00000002-602A-41AE-B5B8-300D07A9F5CC}"/>
              </c:ext>
            </c:extLst>
          </c:dPt>
          <c:val>
            <c:numRef>
              <c:f>Pivots!$H$46:$H$50</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3-602A-41AE-B5B8-300D07A9F5CC}"/>
            </c:ext>
          </c:extLst>
        </c:ser>
        <c:dLbls>
          <c:showLegendKey val="0"/>
          <c:showVal val="0"/>
          <c:showCatName val="0"/>
          <c:showSerName val="0"/>
          <c:showPercent val="0"/>
          <c:showBubbleSize val="0"/>
        </c:dLbls>
        <c:gapWidth val="31"/>
        <c:overlap val="100"/>
        <c:axId val="868669488"/>
        <c:axId val="868683408"/>
      </c:barChart>
      <c:catAx>
        <c:axId val="8686694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83408"/>
        <c:crosses val="autoZero"/>
        <c:auto val="1"/>
        <c:lblAlgn val="ctr"/>
        <c:lblOffset val="100"/>
        <c:noMultiLvlLbl val="0"/>
      </c:catAx>
      <c:valAx>
        <c:axId val="868683408"/>
        <c:scaling>
          <c:orientation val="minMax"/>
          <c:min val="0"/>
        </c:scaling>
        <c:delete val="1"/>
        <c:axPos val="t"/>
        <c:numFmt formatCode="General" sourceLinked="1"/>
        <c:majorTickMark val="none"/>
        <c:minorTickMark val="none"/>
        <c:tickLblPos val="nextTo"/>
        <c:crossAx val="86866948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Amount</a:t>
            </a:r>
          </a:p>
        </c:rich>
      </c:tx>
      <c:layout>
        <c:manualLayout>
          <c:xMode val="edge"/>
          <c:yMode val="edge"/>
          <c:x val="0.11033161424090915"/>
          <c:y val="2.79153273171040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50000"/>
                </a:schemeClr>
              </a:solidFill>
              <a:latin typeface="+mn-lt"/>
              <a:ea typeface="+mn-ea"/>
              <a:cs typeface="+mn-cs"/>
            </a:defRPr>
          </a:pPr>
          <a:endParaRPr lang="en-US"/>
        </a:p>
      </c:txPr>
    </c:title>
    <c:autoTitleDeleted val="0"/>
    <c:plotArea>
      <c:layout>
        <c:manualLayout>
          <c:layoutTarget val="inner"/>
          <c:xMode val="edge"/>
          <c:yMode val="edge"/>
          <c:x val="0.10373974777895884"/>
          <c:y val="0.15804383453728257"/>
          <c:w val="0.81681771058882191"/>
          <c:h val="0.78512891166271592"/>
        </c:manualLayout>
      </c:layout>
      <c:barChart>
        <c:barDir val="bar"/>
        <c:grouping val="clustered"/>
        <c:varyColors val="0"/>
        <c:ser>
          <c:idx val="0"/>
          <c:order val="0"/>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Pivots!$E$46:$E$50</c:f>
              <c:strCache>
                <c:ptCount val="5"/>
                <c:pt idx="0">
                  <c:v>R01</c:v>
                </c:pt>
                <c:pt idx="1">
                  <c:v>R02</c:v>
                </c:pt>
                <c:pt idx="2">
                  <c:v>R03</c:v>
                </c:pt>
                <c:pt idx="3">
                  <c:v>R04</c:v>
                </c:pt>
                <c:pt idx="4">
                  <c:v>R05</c:v>
                </c:pt>
              </c:strCache>
            </c:strRef>
          </c:cat>
          <c:val>
            <c:numRef>
              <c:f>Pivots!$G$46:$G$50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3D7-4F64-ADC8-53B0423E70E7}"/>
            </c:ext>
          </c:extLst>
        </c:ser>
        <c:ser>
          <c:idx val="1"/>
          <c:order val="1"/>
          <c:tx>
            <c:strRef>
              <c:f>Pivots!$I$45</c:f>
              <c:strCache>
                <c:ptCount val="1"/>
                <c:pt idx="0">
                  <c:v>Sel.Amount</c:v>
                </c:pt>
              </c:strCache>
            </c:strRef>
          </c:tx>
          <c:spPr>
            <a:gradFill>
              <a:gsLst>
                <a:gs pos="44000">
                  <a:schemeClr val="accent5"/>
                </a:gs>
                <a:gs pos="100000">
                  <a:schemeClr val="accent6">
                    <a:lumMod val="75000"/>
                  </a:schemeClr>
                </a:gs>
              </a:gsLst>
              <a:lin ang="0" scaled="1"/>
            </a:gradFill>
            <a:ln>
              <a:noFill/>
            </a:ln>
            <a:effectLst/>
          </c:spPr>
          <c:invertIfNegative val="0"/>
          <c:val>
            <c:numRef>
              <c:f>Pivots!$I$46:$I$50</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63D7-4F64-ADC8-53B0423E70E7}"/>
            </c:ext>
          </c:extLst>
        </c:ser>
        <c:dLbls>
          <c:showLegendKey val="0"/>
          <c:showVal val="0"/>
          <c:showCatName val="0"/>
          <c:showSerName val="0"/>
          <c:showPercent val="0"/>
          <c:showBubbleSize val="0"/>
        </c:dLbls>
        <c:gapWidth val="30"/>
        <c:overlap val="100"/>
        <c:axId val="868669488"/>
        <c:axId val="868683408"/>
      </c:barChart>
      <c:catAx>
        <c:axId val="868669488"/>
        <c:scaling>
          <c:orientation val="maxMin"/>
        </c:scaling>
        <c:delete val="1"/>
        <c:axPos val="l"/>
        <c:numFmt formatCode="General" sourceLinked="1"/>
        <c:majorTickMark val="none"/>
        <c:minorTickMark val="none"/>
        <c:tickLblPos val="nextTo"/>
        <c:crossAx val="868683408"/>
        <c:crosses val="autoZero"/>
        <c:auto val="1"/>
        <c:lblAlgn val="ctr"/>
        <c:lblOffset val="100"/>
        <c:noMultiLvlLbl val="0"/>
      </c:catAx>
      <c:valAx>
        <c:axId val="868683408"/>
        <c:scaling>
          <c:orientation val="minMax"/>
        </c:scaling>
        <c:delete val="1"/>
        <c:axPos val="t"/>
        <c:numFmt formatCode="\$#,###.0,&quot;k&quot;" sourceLinked="1"/>
        <c:majorTickMark val="none"/>
        <c:minorTickMark val="none"/>
        <c:tickLblPos val="nextTo"/>
        <c:crossAx val="86866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[PortfolioProject.xlsx]Pivots!PivotTable2</c:name>
    <c:fmtId val="30"/>
  </c:pivotSource>
  <c:chart>
    <c:title>
      <c:tx>
        <c:rich>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r>
              <a:rPr lang="en-US" sz="1000" b="1">
                <a:solidFill>
                  <a:schemeClr val="accent6">
                    <a:lumMod val="50000"/>
                  </a:schemeClr>
                </a:solidFill>
              </a:rPr>
              <a:t>Female VS Male Callers</a:t>
            </a:r>
          </a:p>
        </c:rich>
      </c:tx>
      <c:layout>
        <c:manualLayout>
          <c:xMode val="edge"/>
          <c:yMode val="edge"/>
          <c:x val="0.15952221350638238"/>
          <c:y val="5.471847512104607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alpha val="97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3042999432491"/>
          <c:y val="0.17599338208048929"/>
          <c:w val="0.83271602005846712"/>
          <c:h val="0.62414774658500227"/>
        </c:manualLayout>
      </c:layout>
      <c:barChart>
        <c:barDir val="col"/>
        <c:grouping val="percentStacked"/>
        <c:varyColors val="0"/>
        <c:ser>
          <c:idx val="0"/>
          <c:order val="0"/>
          <c:tx>
            <c:strRef>
              <c:f>Pivots!$B$58:$B$59</c:f>
              <c:strCache>
                <c:ptCount val="1"/>
                <c:pt idx="0">
                  <c:v>Female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60000"/>
                        <a:lumOff val="40000"/>
                        <a:alpha val="97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Pivots!$A$60:$A$63</c:f>
              <c:strCache>
                <c:ptCount val="3"/>
                <c:pt idx="0">
                  <c:v>Cincinnati</c:v>
                </c:pt>
                <c:pt idx="1">
                  <c:v>Cleveland</c:v>
                </c:pt>
                <c:pt idx="2">
                  <c:v>Columbus</c:v>
                </c:pt>
              </c:strCache>
            </c:strRef>
          </c:cat>
          <c:val>
            <c:numRef>
              <c:f>Pivots!$B$60:$B$63</c:f>
              <c:numCache>
                <c:formatCode>#,##0</c:formatCode>
                <c:ptCount val="3"/>
                <c:pt idx="0">
                  <c:v>144</c:v>
                </c:pt>
                <c:pt idx="1">
                  <c:v>326</c:v>
                </c:pt>
                <c:pt idx="2">
                  <c:v>129</c:v>
                </c:pt>
              </c:numCache>
            </c:numRef>
          </c:val>
          <c:extLst>
            <c:ext xmlns:c16="http://schemas.microsoft.com/office/drawing/2014/chart" uri="{C3380CC4-5D6E-409C-BE32-E72D297353CC}">
              <c16:uniqueId val="{00000000-C4F0-4C2C-BE6F-67B042E9E80B}"/>
            </c:ext>
          </c:extLst>
        </c:ser>
        <c:ser>
          <c:idx val="1"/>
          <c:order val="1"/>
          <c:tx>
            <c:strRef>
              <c:f>Pivots!$C$58:$C$59</c:f>
              <c:strCache>
                <c:ptCount val="1"/>
                <c:pt idx="0">
                  <c:v>Male</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Pivots!$A$60:$A$63</c:f>
              <c:strCache>
                <c:ptCount val="3"/>
                <c:pt idx="0">
                  <c:v>Cincinnati</c:v>
                </c:pt>
                <c:pt idx="1">
                  <c:v>Cleveland</c:v>
                </c:pt>
                <c:pt idx="2">
                  <c:v>Columbus</c:v>
                </c:pt>
              </c:strCache>
            </c:strRef>
          </c:cat>
          <c:val>
            <c:numRef>
              <c:f>Pivots!$C$60:$C$63</c:f>
              <c:numCache>
                <c:formatCode>#,##0</c:formatCode>
                <c:ptCount val="3"/>
                <c:pt idx="0">
                  <c:v>132</c:v>
                </c:pt>
                <c:pt idx="1">
                  <c:v>63</c:v>
                </c:pt>
                <c:pt idx="2">
                  <c:v>206</c:v>
                </c:pt>
              </c:numCache>
            </c:numRef>
          </c:val>
          <c:extLst>
            <c:ext xmlns:c16="http://schemas.microsoft.com/office/drawing/2014/chart" uri="{C3380CC4-5D6E-409C-BE32-E72D297353CC}">
              <c16:uniqueId val="{00000001-C4F0-4C2C-BE6F-67B042E9E80B}"/>
            </c:ext>
          </c:extLst>
        </c:ser>
        <c:dLbls>
          <c:showLegendKey val="0"/>
          <c:showVal val="1"/>
          <c:showCatName val="0"/>
          <c:showSerName val="0"/>
          <c:showPercent val="0"/>
          <c:showBubbleSize val="0"/>
        </c:dLbls>
        <c:gapWidth val="34"/>
        <c:overlap val="100"/>
        <c:axId val="1586032592"/>
        <c:axId val="1586036912"/>
      </c:barChart>
      <c:catAx>
        <c:axId val="15860325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accent5">
                    <a:lumMod val="50000"/>
                  </a:schemeClr>
                </a:solidFill>
                <a:latin typeface="+mn-lt"/>
                <a:ea typeface="+mn-ea"/>
                <a:cs typeface="+mn-cs"/>
              </a:defRPr>
            </a:pPr>
            <a:endParaRPr lang="en-US"/>
          </a:p>
        </c:txPr>
        <c:crossAx val="1586036912"/>
        <c:crosses val="autoZero"/>
        <c:auto val="1"/>
        <c:lblAlgn val="ctr"/>
        <c:lblOffset val="100"/>
        <c:noMultiLvlLbl val="0"/>
      </c:catAx>
      <c:valAx>
        <c:axId val="1586036912"/>
        <c:scaling>
          <c:orientation val="minMax"/>
        </c:scaling>
        <c:delete val="1"/>
        <c:axPos val="l"/>
        <c:numFmt formatCode="0%" sourceLinked="1"/>
        <c:majorTickMark val="out"/>
        <c:minorTickMark val="none"/>
        <c:tickLblPos val="nextTo"/>
        <c:crossAx val="1586032592"/>
        <c:crosses val="autoZero"/>
        <c:crossBetween val="between"/>
      </c:valAx>
      <c:spPr>
        <a:noFill/>
        <a:ln>
          <a:noFill/>
        </a:ln>
        <a:effectLst/>
      </c:spPr>
    </c:plotArea>
    <c:legend>
      <c:legendPos val="r"/>
      <c:layout>
        <c:manualLayout>
          <c:xMode val="edge"/>
          <c:yMode val="edge"/>
          <c:x val="0.25963251690901379"/>
          <c:y val="0.89162307011198982"/>
          <c:w val="0.53440002948710874"/>
          <c:h val="0.10765127328960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lumMod val="15000"/>
          <a:lumOff val="85000"/>
          <a:alpha val="9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[PortfolioProject.xlsx]Pivots!rep satisfaction</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75000"/>
                  </a:schemeClr>
                </a:solidFill>
              </a:rPr>
              <a:t>Rating</a:t>
            </a:r>
          </a:p>
        </c:rich>
      </c:tx>
      <c:layout>
        <c:manualLayout>
          <c:xMode val="edge"/>
          <c:yMode val="edge"/>
          <c:x val="0.37411414943811683"/>
          <c:y val="3.37243349844390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Pivots!$B$67</c:f>
              <c:strCache>
                <c:ptCount val="1"/>
                <c:pt idx="0">
                  <c:v>Total</c:v>
                </c:pt>
              </c:strCache>
            </c:strRef>
          </c:tx>
          <c:spPr>
            <a:solidFill>
              <a:schemeClr val="accent5">
                <a:lumMod val="75000"/>
              </a:schemeClr>
            </a:solidFill>
            <a:ln>
              <a:noFill/>
            </a:ln>
            <a:effectLst/>
          </c:spPr>
          <c:invertIfNegative val="0"/>
          <c:cat>
            <c:strRef>
              <c:f>Pivots!$A$68:$A$73</c:f>
              <c:strCache>
                <c:ptCount val="5"/>
                <c:pt idx="0">
                  <c:v>1</c:v>
                </c:pt>
                <c:pt idx="1">
                  <c:v>2</c:v>
                </c:pt>
                <c:pt idx="2">
                  <c:v>3</c:v>
                </c:pt>
                <c:pt idx="3">
                  <c:v>4</c:v>
                </c:pt>
                <c:pt idx="4">
                  <c:v>5</c:v>
                </c:pt>
              </c:strCache>
            </c:strRef>
          </c:cat>
          <c:val>
            <c:numRef>
              <c:f>Pivots!$B$68:$B$73</c:f>
              <c:numCache>
                <c:formatCode>General</c:formatCode>
                <c:ptCount val="5"/>
                <c:pt idx="0">
                  <c:v>1</c:v>
                </c:pt>
                <c:pt idx="1">
                  <c:v>9</c:v>
                </c:pt>
                <c:pt idx="2">
                  <c:v>31</c:v>
                </c:pt>
                <c:pt idx="3">
                  <c:v>88</c:v>
                </c:pt>
                <c:pt idx="4">
                  <c:v>60</c:v>
                </c:pt>
              </c:numCache>
            </c:numRef>
          </c:val>
          <c:extLst>
            <c:ext xmlns:c16="http://schemas.microsoft.com/office/drawing/2014/chart" uri="{C3380CC4-5D6E-409C-BE32-E72D297353CC}">
              <c16:uniqueId val="{00000000-D49B-4A47-94BC-3216A0A703F8}"/>
            </c:ext>
          </c:extLst>
        </c:ser>
        <c:dLbls>
          <c:showLegendKey val="0"/>
          <c:showVal val="0"/>
          <c:showCatName val="0"/>
          <c:showSerName val="0"/>
          <c:showPercent val="0"/>
          <c:showBubbleSize val="0"/>
        </c:dLbls>
        <c:gapWidth val="32"/>
        <c:axId val="1543387184"/>
        <c:axId val="1543377584"/>
      </c:barChart>
      <c:dateAx>
        <c:axId val="1543387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377584"/>
        <c:crossesAt val="0"/>
        <c:auto val="0"/>
        <c:lblOffset val="100"/>
        <c:baseTimeUnit val="days"/>
      </c:dateAx>
      <c:valAx>
        <c:axId val="154337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38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2.sv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image" Target="../media/image25.jpe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svg"/><Relationship Id="rId17" Type="http://schemas.openxmlformats.org/officeDocument/2006/relationships/image" Target="../media/image29.png"/><Relationship Id="rId2" Type="http://schemas.openxmlformats.org/officeDocument/2006/relationships/image" Target="../media/image14.svg"/><Relationship Id="rId16" Type="http://schemas.openxmlformats.org/officeDocument/2006/relationships/image" Target="../media/image28.png"/><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jpeg"/><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1</xdr:col>
      <xdr:colOff>102141</xdr:colOff>
      <xdr:row>2</xdr:row>
      <xdr:rowOff>142091</xdr:rowOff>
    </xdr:from>
    <xdr:to>
      <xdr:col>3</xdr:col>
      <xdr:colOff>534682</xdr:colOff>
      <xdr:row>8</xdr:row>
      <xdr:rowOff>14727</xdr:rowOff>
    </xdr:to>
    <xdr:sp macro="" textlink="Pivots!A4">
      <xdr:nvSpPr>
        <xdr:cNvPr id="2" name="Rectangle 1">
          <a:extLst>
            <a:ext uri="{FF2B5EF4-FFF2-40B4-BE49-F238E27FC236}">
              <a16:creationId xmlns:a16="http://schemas.microsoft.com/office/drawing/2014/main" id="{C5AE81FA-431D-A543-671D-55BA15769D6B}"/>
            </a:ext>
          </a:extLst>
        </xdr:cNvPr>
        <xdr:cNvSpPr/>
      </xdr:nvSpPr>
      <xdr:spPr>
        <a:xfrm>
          <a:off x="380047" y="599291"/>
          <a:ext cx="1320047" cy="948401"/>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algn="ctr"/>
          <a:fld id="{ACE063F1-C6C2-4EC3-B376-501FDC27F743}" type="TxLink">
            <a:rPr lang="en-US" sz="2800" b="1" i="0" u="none" strike="noStrike">
              <a:solidFill>
                <a:schemeClr val="bg1"/>
              </a:solidFill>
              <a:latin typeface="Aptos Narrow" panose="020B0004020202020204" pitchFamily="34" charset="0"/>
            </a:rPr>
            <a:pPr algn="ctr"/>
            <a:t>1,000</a:t>
          </a:fld>
          <a:endParaRPr lang="en-IN" sz="2800" b="1">
            <a:solidFill>
              <a:schemeClr val="bg1"/>
            </a:solidFill>
            <a:latin typeface="Aptos Narrow" panose="020B0004020202020204" pitchFamily="34" charset="0"/>
          </a:endParaRPr>
        </a:p>
      </xdr:txBody>
    </xdr:sp>
    <xdr:clientData/>
  </xdr:twoCellAnchor>
  <xdr:twoCellAnchor>
    <xdr:from>
      <xdr:col>2</xdr:col>
      <xdr:colOff>243840</xdr:colOff>
      <xdr:row>3</xdr:row>
      <xdr:rowOff>22860</xdr:rowOff>
    </xdr:from>
    <xdr:to>
      <xdr:col>4</xdr:col>
      <xdr:colOff>15240</xdr:colOff>
      <xdr:row>4</xdr:row>
      <xdr:rowOff>53340</xdr:rowOff>
    </xdr:to>
    <xdr:sp macro="" textlink="">
      <xdr:nvSpPr>
        <xdr:cNvPr id="3" name="TextBox 2">
          <a:extLst>
            <a:ext uri="{FF2B5EF4-FFF2-40B4-BE49-F238E27FC236}">
              <a16:creationId xmlns:a16="http://schemas.microsoft.com/office/drawing/2014/main" id="{08585D00-8BA3-73EC-EC8C-5440004E9D44}"/>
            </a:ext>
          </a:extLst>
        </xdr:cNvPr>
        <xdr:cNvSpPr txBox="1"/>
      </xdr:nvSpPr>
      <xdr:spPr>
        <a:xfrm>
          <a:off x="792480" y="57150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Calls</a:t>
          </a:r>
        </a:p>
      </xdr:txBody>
    </xdr:sp>
    <xdr:clientData/>
  </xdr:twoCellAnchor>
  <xdr:twoCellAnchor editAs="oneCell">
    <xdr:from>
      <xdr:col>2</xdr:col>
      <xdr:colOff>118775</xdr:colOff>
      <xdr:row>3</xdr:row>
      <xdr:rowOff>83363</xdr:rowOff>
    </xdr:from>
    <xdr:to>
      <xdr:col>2</xdr:col>
      <xdr:colOff>295592</xdr:colOff>
      <xdr:row>4</xdr:row>
      <xdr:rowOff>70505</xdr:rowOff>
    </xdr:to>
    <xdr:pic>
      <xdr:nvPicPr>
        <xdr:cNvPr id="4" name="Graphic 3" descr="Receiver with solid fill">
          <a:extLst>
            <a:ext uri="{FF2B5EF4-FFF2-40B4-BE49-F238E27FC236}">
              <a16:creationId xmlns:a16="http://schemas.microsoft.com/office/drawing/2014/main" id="{A29BA5DD-1573-4162-95DA-7BE954A4AA9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490854">
          <a:off x="667415" y="632003"/>
          <a:ext cx="176817" cy="170022"/>
        </a:xfrm>
        <a:prstGeom prst="rect">
          <a:avLst/>
        </a:prstGeom>
      </xdr:spPr>
    </xdr:pic>
    <xdr:clientData/>
  </xdr:twoCellAnchor>
  <xdr:twoCellAnchor>
    <xdr:from>
      <xdr:col>2</xdr:col>
      <xdr:colOff>27215</xdr:colOff>
      <xdr:row>6</xdr:row>
      <xdr:rowOff>77288</xdr:rowOff>
    </xdr:from>
    <xdr:to>
      <xdr:col>3</xdr:col>
      <xdr:colOff>230778</xdr:colOff>
      <xdr:row>7</xdr:row>
      <xdr:rowOff>94705</xdr:rowOff>
    </xdr:to>
    <xdr:sp macro="" textlink="Pivots!A11">
      <xdr:nvSpPr>
        <xdr:cNvPr id="5" name="TextBox 4">
          <a:extLst>
            <a:ext uri="{FF2B5EF4-FFF2-40B4-BE49-F238E27FC236}">
              <a16:creationId xmlns:a16="http://schemas.microsoft.com/office/drawing/2014/main" id="{14AAC870-41CE-9F9B-36E5-644E9A4251CB}"/>
            </a:ext>
          </a:extLst>
        </xdr:cNvPr>
        <xdr:cNvSpPr txBox="1"/>
      </xdr:nvSpPr>
      <xdr:spPr>
        <a:xfrm>
          <a:off x="571501" y="1187631"/>
          <a:ext cx="813163" cy="202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9B63F6-FA8F-4999-A7AB-A436EC3DCABA}" type="TxLink">
            <a:rPr lang="en-US" sz="1100" b="0" i="0" u="none" strike="noStrike">
              <a:solidFill>
                <a:schemeClr val="bg1"/>
              </a:solidFill>
              <a:latin typeface="Aptos Display"/>
            </a:rPr>
            <a:pPr algn="ctr"/>
            <a:t>189</a:t>
          </a:fld>
          <a:endParaRPr lang="en-IN" sz="1100">
            <a:solidFill>
              <a:schemeClr val="bg1"/>
            </a:solidFill>
          </a:endParaRPr>
        </a:p>
      </xdr:txBody>
    </xdr:sp>
    <xdr:clientData/>
  </xdr:twoCellAnchor>
  <xdr:twoCellAnchor>
    <xdr:from>
      <xdr:col>1</xdr:col>
      <xdr:colOff>99060</xdr:colOff>
      <xdr:row>11</xdr:row>
      <xdr:rowOff>0</xdr:rowOff>
    </xdr:from>
    <xdr:to>
      <xdr:col>4</xdr:col>
      <xdr:colOff>0</xdr:colOff>
      <xdr:row>16</xdr:row>
      <xdr:rowOff>99060</xdr:rowOff>
    </xdr:to>
    <xdr:sp macro="" textlink="Pivots!B4">
      <xdr:nvSpPr>
        <xdr:cNvPr id="8" name="Rectangle 7">
          <a:extLst>
            <a:ext uri="{FF2B5EF4-FFF2-40B4-BE49-F238E27FC236}">
              <a16:creationId xmlns:a16="http://schemas.microsoft.com/office/drawing/2014/main" id="{C3D09B13-AF21-4420-AE07-32F2E7C22159}"/>
            </a:ext>
          </a:extLst>
        </xdr:cNvPr>
        <xdr:cNvSpPr/>
      </xdr:nvSpPr>
      <xdr:spPr>
        <a:xfrm>
          <a:off x="371203" y="2035629"/>
          <a:ext cx="1392283" cy="1024345"/>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marL="0" indent="0" algn="ctr"/>
          <a:fld id="{459D26EB-CFA6-4F3C-9E2C-3726508212A4}" type="TxLink">
            <a:rPr lang="en-US" sz="2800" b="1" i="0" u="none" strike="noStrike">
              <a:solidFill>
                <a:schemeClr val="bg1"/>
              </a:solidFill>
              <a:latin typeface="Aptos Narrow" panose="020B0004020202020204" pitchFamily="34" charset="0"/>
              <a:ea typeface="+mn-ea"/>
              <a:cs typeface="+mn-cs"/>
            </a:rPr>
            <a:pPr marL="0" indent="0" algn="ctr"/>
            <a:t>$96,623</a:t>
          </a:fld>
          <a:endParaRPr lang="en-IN" sz="2800" b="1" i="0" u="none" strike="noStrike">
            <a:solidFill>
              <a:schemeClr val="bg1"/>
            </a:solidFill>
            <a:latin typeface="Aptos Narrow" panose="020B0004020202020204" pitchFamily="34" charset="0"/>
            <a:ea typeface="+mn-ea"/>
            <a:cs typeface="+mn-cs"/>
          </a:endParaRPr>
        </a:p>
      </xdr:txBody>
    </xdr:sp>
    <xdr:clientData/>
  </xdr:twoCellAnchor>
  <xdr:twoCellAnchor>
    <xdr:from>
      <xdr:col>2</xdr:col>
      <xdr:colOff>175260</xdr:colOff>
      <xdr:row>11</xdr:row>
      <xdr:rowOff>68580</xdr:rowOff>
    </xdr:from>
    <xdr:to>
      <xdr:col>3</xdr:col>
      <xdr:colOff>556260</xdr:colOff>
      <xdr:row>12</xdr:row>
      <xdr:rowOff>99060</xdr:rowOff>
    </xdr:to>
    <xdr:sp macro="" textlink="">
      <xdr:nvSpPr>
        <xdr:cNvPr id="9" name="TextBox 8">
          <a:extLst>
            <a:ext uri="{FF2B5EF4-FFF2-40B4-BE49-F238E27FC236}">
              <a16:creationId xmlns:a16="http://schemas.microsoft.com/office/drawing/2014/main" id="{6D09850C-7AD3-4C4B-990A-2BCCFEFAF64B}"/>
            </a:ext>
          </a:extLst>
        </xdr:cNvPr>
        <xdr:cNvSpPr txBox="1"/>
      </xdr:nvSpPr>
      <xdr:spPr>
        <a:xfrm>
          <a:off x="729442" y="2049780"/>
          <a:ext cx="990600" cy="210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Amount</a:t>
          </a:r>
        </a:p>
      </xdr:txBody>
    </xdr:sp>
    <xdr:clientData/>
  </xdr:twoCellAnchor>
  <xdr:twoCellAnchor editAs="oneCell">
    <xdr:from>
      <xdr:col>2</xdr:col>
      <xdr:colOff>45973</xdr:colOff>
      <xdr:row>11</xdr:row>
      <xdr:rowOff>121463</xdr:rowOff>
    </xdr:from>
    <xdr:to>
      <xdr:col>2</xdr:col>
      <xdr:colOff>215995</xdr:colOff>
      <xdr:row>12</xdr:row>
      <xdr:rowOff>108605</xdr:rowOff>
    </xdr:to>
    <xdr:pic>
      <xdr:nvPicPr>
        <xdr:cNvPr id="10" name="Graphic 9">
          <a:extLst>
            <a:ext uri="{FF2B5EF4-FFF2-40B4-BE49-F238E27FC236}">
              <a16:creationId xmlns:a16="http://schemas.microsoft.com/office/drawing/2014/main" id="{EE93265F-AC9F-4B61-AF4C-8D0A83317FC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94613" y="2133143"/>
          <a:ext cx="170022" cy="170022"/>
        </a:xfrm>
        <a:prstGeom prst="rect">
          <a:avLst/>
        </a:prstGeom>
      </xdr:spPr>
    </xdr:pic>
    <xdr:clientData/>
  </xdr:twoCellAnchor>
  <xdr:twoCellAnchor>
    <xdr:from>
      <xdr:col>2</xdr:col>
      <xdr:colOff>53340</xdr:colOff>
      <xdr:row>15</xdr:row>
      <xdr:rowOff>38100</xdr:rowOff>
    </xdr:from>
    <xdr:to>
      <xdr:col>3</xdr:col>
      <xdr:colOff>259080</xdr:colOff>
      <xdr:row>16</xdr:row>
      <xdr:rowOff>53340</xdr:rowOff>
    </xdr:to>
    <xdr:sp macro="" textlink="Pivots!B11">
      <xdr:nvSpPr>
        <xdr:cNvPr id="11" name="TextBox 10">
          <a:extLst>
            <a:ext uri="{FF2B5EF4-FFF2-40B4-BE49-F238E27FC236}">
              <a16:creationId xmlns:a16="http://schemas.microsoft.com/office/drawing/2014/main" id="{B638ED65-0AE5-4EEB-88A8-7897CF75A683}"/>
            </a:ext>
          </a:extLst>
        </xdr:cNvPr>
        <xdr:cNvSpPr txBox="1"/>
      </xdr:nvSpPr>
      <xdr:spPr>
        <a:xfrm>
          <a:off x="601980" y="2781300"/>
          <a:ext cx="815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9B7A40-9E3C-4319-BB72-F3254F73FCD8}" type="TxLink">
            <a:rPr lang="en-US" sz="1100" b="0" i="0" u="none" strike="noStrike">
              <a:solidFill>
                <a:schemeClr val="bg1"/>
              </a:solidFill>
              <a:latin typeface="Aptos Display"/>
              <a:ea typeface="+mn-ea"/>
              <a:cs typeface="+mn-cs"/>
            </a:rPr>
            <a:pPr marL="0" indent="0" algn="ctr"/>
            <a:t>$18,415</a:t>
          </a:fld>
          <a:endParaRPr lang="en-IN" sz="1100" b="0" i="0" u="none" strike="noStrike">
            <a:solidFill>
              <a:schemeClr val="bg1"/>
            </a:solidFill>
            <a:latin typeface="Aptos Display"/>
            <a:ea typeface="+mn-ea"/>
            <a:cs typeface="+mn-cs"/>
          </a:endParaRPr>
        </a:p>
      </xdr:txBody>
    </xdr:sp>
    <xdr:clientData/>
  </xdr:twoCellAnchor>
  <xdr:twoCellAnchor>
    <xdr:from>
      <xdr:col>1</xdr:col>
      <xdr:colOff>99957</xdr:colOff>
      <xdr:row>19</xdr:row>
      <xdr:rowOff>53788</xdr:rowOff>
    </xdr:from>
    <xdr:to>
      <xdr:col>4</xdr:col>
      <xdr:colOff>897</xdr:colOff>
      <xdr:row>24</xdr:row>
      <xdr:rowOff>152848</xdr:rowOff>
    </xdr:to>
    <xdr:sp macro="" textlink="Pivots!C4">
      <xdr:nvSpPr>
        <xdr:cNvPr id="12" name="Rectangle 11">
          <a:extLst>
            <a:ext uri="{FF2B5EF4-FFF2-40B4-BE49-F238E27FC236}">
              <a16:creationId xmlns:a16="http://schemas.microsoft.com/office/drawing/2014/main" id="{1ADF3304-B84D-4E88-A9F8-18C69EE9B7D9}"/>
            </a:ext>
          </a:extLst>
        </xdr:cNvPr>
        <xdr:cNvSpPr/>
      </xdr:nvSpPr>
      <xdr:spPr>
        <a:xfrm>
          <a:off x="377863" y="3558988"/>
          <a:ext cx="1398046" cy="995531"/>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marL="0" indent="0" algn="ctr"/>
          <a:fld id="{4F44623C-0670-4886-8D4C-3DED4D120C19}" type="TxLink">
            <a:rPr lang="en-US" sz="2800" b="1" i="0" u="none" strike="noStrike">
              <a:solidFill>
                <a:schemeClr val="bg1"/>
              </a:solidFill>
              <a:latin typeface="Aptos Narrow" panose="020B0004020202020204" pitchFamily="34" charset="0"/>
              <a:ea typeface="+mn-ea"/>
              <a:cs typeface="+mn-cs"/>
            </a:rPr>
            <a:pPr marL="0" indent="0" algn="ctr"/>
            <a:t>89,850</a:t>
          </a:fld>
          <a:endParaRPr lang="en-IN" sz="2800" b="1" i="0" u="none" strike="noStrike">
            <a:solidFill>
              <a:schemeClr val="bg1"/>
            </a:solidFill>
            <a:latin typeface="Aptos Narrow" panose="020B0004020202020204" pitchFamily="34" charset="0"/>
            <a:ea typeface="+mn-ea"/>
            <a:cs typeface="+mn-cs"/>
          </a:endParaRPr>
        </a:p>
      </xdr:txBody>
    </xdr:sp>
    <xdr:clientData/>
  </xdr:twoCellAnchor>
  <xdr:twoCellAnchor>
    <xdr:from>
      <xdr:col>2</xdr:col>
      <xdr:colOff>220980</xdr:colOff>
      <xdr:row>19</xdr:row>
      <xdr:rowOff>99060</xdr:rowOff>
    </xdr:from>
    <xdr:to>
      <xdr:col>3</xdr:col>
      <xdr:colOff>601980</xdr:colOff>
      <xdr:row>20</xdr:row>
      <xdr:rowOff>129540</xdr:rowOff>
    </xdr:to>
    <xdr:sp macro="" textlink="">
      <xdr:nvSpPr>
        <xdr:cNvPr id="13" name="TextBox 12">
          <a:extLst>
            <a:ext uri="{FF2B5EF4-FFF2-40B4-BE49-F238E27FC236}">
              <a16:creationId xmlns:a16="http://schemas.microsoft.com/office/drawing/2014/main" id="{4718DD02-894F-40A6-98AD-C18066EBA0E6}"/>
            </a:ext>
          </a:extLst>
        </xdr:cNvPr>
        <xdr:cNvSpPr txBox="1"/>
      </xdr:nvSpPr>
      <xdr:spPr>
        <a:xfrm>
          <a:off x="769620" y="357378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Duration</a:t>
          </a:r>
        </a:p>
      </xdr:txBody>
    </xdr:sp>
    <xdr:clientData/>
  </xdr:twoCellAnchor>
  <xdr:twoCellAnchor editAs="oneCell">
    <xdr:from>
      <xdr:col>2</xdr:col>
      <xdr:colOff>68832</xdr:colOff>
      <xdr:row>19</xdr:row>
      <xdr:rowOff>144323</xdr:rowOff>
    </xdr:from>
    <xdr:to>
      <xdr:col>2</xdr:col>
      <xdr:colOff>238854</xdr:colOff>
      <xdr:row>20</xdr:row>
      <xdr:rowOff>131465</xdr:rowOff>
    </xdr:to>
    <xdr:pic>
      <xdr:nvPicPr>
        <xdr:cNvPr id="14" name="Graphic 13">
          <a:extLst>
            <a:ext uri="{FF2B5EF4-FFF2-40B4-BE49-F238E27FC236}">
              <a16:creationId xmlns:a16="http://schemas.microsoft.com/office/drawing/2014/main" id="{32BA53C8-961A-462A-9726-53FADD6613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17472" y="3619043"/>
          <a:ext cx="170022" cy="170022"/>
        </a:xfrm>
        <a:prstGeom prst="rect">
          <a:avLst/>
        </a:prstGeom>
      </xdr:spPr>
    </xdr:pic>
    <xdr:clientData/>
  </xdr:twoCellAnchor>
  <xdr:twoCellAnchor>
    <xdr:from>
      <xdr:col>2</xdr:col>
      <xdr:colOff>53340</xdr:colOff>
      <xdr:row>23</xdr:row>
      <xdr:rowOff>76200</xdr:rowOff>
    </xdr:from>
    <xdr:to>
      <xdr:col>3</xdr:col>
      <xdr:colOff>259080</xdr:colOff>
      <xdr:row>24</xdr:row>
      <xdr:rowOff>91440</xdr:rowOff>
    </xdr:to>
    <xdr:sp macro="" textlink="Pivots!C11">
      <xdr:nvSpPr>
        <xdr:cNvPr id="15" name="TextBox 14">
          <a:extLst>
            <a:ext uri="{FF2B5EF4-FFF2-40B4-BE49-F238E27FC236}">
              <a16:creationId xmlns:a16="http://schemas.microsoft.com/office/drawing/2014/main" id="{2626F0DD-95B4-4427-BE46-493F2628549F}"/>
            </a:ext>
          </a:extLst>
        </xdr:cNvPr>
        <xdr:cNvSpPr txBox="1"/>
      </xdr:nvSpPr>
      <xdr:spPr>
        <a:xfrm>
          <a:off x="601980" y="4282440"/>
          <a:ext cx="815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D402F4-985B-412C-B058-8713444C7F13}" type="TxLink">
            <a:rPr lang="en-US" sz="1100" b="0" i="0" u="none" strike="noStrike">
              <a:solidFill>
                <a:schemeClr val="bg1"/>
              </a:solidFill>
              <a:latin typeface="Aptos Display"/>
              <a:ea typeface="+mn-ea"/>
              <a:cs typeface="+mn-cs"/>
            </a:rPr>
            <a:pPr marL="0" indent="0" algn="ctr"/>
            <a:t>16,834</a:t>
          </a:fld>
          <a:endParaRPr lang="en-IN" sz="1100" b="0" i="0" u="none" strike="noStrike">
            <a:solidFill>
              <a:schemeClr val="bg1"/>
            </a:solidFill>
            <a:latin typeface="Aptos Display"/>
            <a:ea typeface="+mn-ea"/>
            <a:cs typeface="+mn-cs"/>
          </a:endParaRPr>
        </a:p>
      </xdr:txBody>
    </xdr:sp>
    <xdr:clientData/>
  </xdr:twoCellAnchor>
  <xdr:twoCellAnchor>
    <xdr:from>
      <xdr:col>1</xdr:col>
      <xdr:colOff>114300</xdr:colOff>
      <xdr:row>27</xdr:row>
      <xdr:rowOff>49365</xdr:rowOff>
    </xdr:from>
    <xdr:to>
      <xdr:col>4</xdr:col>
      <xdr:colOff>15240</xdr:colOff>
      <xdr:row>32</xdr:row>
      <xdr:rowOff>148425</xdr:rowOff>
    </xdr:to>
    <xdr:sp macro="" textlink="Pivots!D4">
      <xdr:nvSpPr>
        <xdr:cNvPr id="16" name="Rectangle 15">
          <a:extLst>
            <a:ext uri="{FF2B5EF4-FFF2-40B4-BE49-F238E27FC236}">
              <a16:creationId xmlns:a16="http://schemas.microsoft.com/office/drawing/2014/main" id="{C9DEF108-A62C-4C27-AC68-A84160ABCB07}"/>
            </a:ext>
          </a:extLst>
        </xdr:cNvPr>
        <xdr:cNvSpPr/>
      </xdr:nvSpPr>
      <xdr:spPr>
        <a:xfrm>
          <a:off x="391391" y="4912310"/>
          <a:ext cx="1397231" cy="999606"/>
        </a:xfrm>
        <a:prstGeom prst="rect">
          <a:avLst/>
        </a:prstGeom>
        <a:solidFill>
          <a:schemeClr val="accent6"/>
        </a:solidFill>
        <a:ln>
          <a:noFill/>
        </a:ln>
        <a:effectLst>
          <a:outerShdw blurRad="254000" dist="127000" dir="5400000" algn="ctr" rotWithShape="0">
            <a:srgbClr val="000000">
              <a:alpha val="50000"/>
            </a:srgbClr>
          </a:outerShdw>
        </a:effectLst>
      </xdr:spPr>
      <xdr:style>
        <a:lnRef idx="3">
          <a:schemeClr val="lt1"/>
        </a:lnRef>
        <a:fillRef idx="1">
          <a:schemeClr val="accent5"/>
        </a:fillRef>
        <a:effectRef idx="1">
          <a:schemeClr val="accent5"/>
        </a:effectRef>
        <a:fontRef idx="minor">
          <a:schemeClr val="lt1"/>
        </a:fontRef>
      </xdr:style>
      <xdr:txBody>
        <a:bodyPr vertOverflow="clip" horzOverflow="clip" rtlCol="0" anchor="ctr"/>
        <a:lstStyle/>
        <a:p>
          <a:pPr marL="0" indent="0" algn="ctr"/>
          <a:fld id="{FAD22840-CF73-4183-8021-AA93F4AD6306}" type="TxLink">
            <a:rPr lang="en-US" sz="2800" b="1" i="0" u="none" strike="noStrike">
              <a:solidFill>
                <a:schemeClr val="bg1"/>
              </a:solidFill>
              <a:latin typeface="Aptos Narrow" panose="020B0004020202020204" pitchFamily="34" charset="0"/>
              <a:ea typeface="+mn-ea"/>
              <a:cs typeface="+mn-cs"/>
            </a:rPr>
            <a:pPr marL="0" indent="0" algn="ctr"/>
            <a:t>3.9</a:t>
          </a:fld>
          <a:endParaRPr lang="en-IN" sz="2800" b="1" i="0" u="none" strike="noStrike">
            <a:solidFill>
              <a:schemeClr val="bg1"/>
            </a:solidFill>
            <a:latin typeface="Aptos Narrow" panose="020B0004020202020204" pitchFamily="34" charset="0"/>
            <a:ea typeface="+mn-ea"/>
            <a:cs typeface="+mn-cs"/>
          </a:endParaRPr>
        </a:p>
      </xdr:txBody>
    </xdr:sp>
    <xdr:clientData/>
  </xdr:twoCellAnchor>
  <xdr:twoCellAnchor>
    <xdr:from>
      <xdr:col>2</xdr:col>
      <xdr:colOff>152400</xdr:colOff>
      <xdr:row>27</xdr:row>
      <xdr:rowOff>106680</xdr:rowOff>
    </xdr:from>
    <xdr:to>
      <xdr:col>3</xdr:col>
      <xdr:colOff>533400</xdr:colOff>
      <xdr:row>28</xdr:row>
      <xdr:rowOff>137160</xdr:rowOff>
    </xdr:to>
    <xdr:sp macro="" textlink="">
      <xdr:nvSpPr>
        <xdr:cNvPr id="17" name="TextBox 16">
          <a:extLst>
            <a:ext uri="{FF2B5EF4-FFF2-40B4-BE49-F238E27FC236}">
              <a16:creationId xmlns:a16="http://schemas.microsoft.com/office/drawing/2014/main" id="{44530EDD-D2A3-435E-AB37-6125A69A7D78}"/>
            </a:ext>
          </a:extLst>
        </xdr:cNvPr>
        <xdr:cNvSpPr txBox="1"/>
      </xdr:nvSpPr>
      <xdr:spPr>
        <a:xfrm>
          <a:off x="701040" y="504444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Avg.Rating</a:t>
          </a:r>
        </a:p>
      </xdr:txBody>
    </xdr:sp>
    <xdr:clientData/>
  </xdr:twoCellAnchor>
  <xdr:twoCellAnchor editAs="oneCell">
    <xdr:from>
      <xdr:col>1</xdr:col>
      <xdr:colOff>236473</xdr:colOff>
      <xdr:row>27</xdr:row>
      <xdr:rowOff>121464</xdr:rowOff>
    </xdr:from>
    <xdr:to>
      <xdr:col>2</xdr:col>
      <xdr:colOff>191209</xdr:colOff>
      <xdr:row>28</xdr:row>
      <xdr:rowOff>167640</xdr:rowOff>
    </xdr:to>
    <xdr:pic>
      <xdr:nvPicPr>
        <xdr:cNvPr id="18" name="Graphic 17">
          <a:extLst>
            <a:ext uri="{FF2B5EF4-FFF2-40B4-BE49-F238E27FC236}">
              <a16:creationId xmlns:a16="http://schemas.microsoft.com/office/drawing/2014/main" id="{E6E8BD42-52D2-40B7-9355-43F53E1D29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10793" y="5059224"/>
          <a:ext cx="229056" cy="229056"/>
        </a:xfrm>
        <a:prstGeom prst="rect">
          <a:avLst/>
        </a:prstGeom>
      </xdr:spPr>
    </xdr:pic>
    <xdr:clientData/>
  </xdr:twoCellAnchor>
  <xdr:twoCellAnchor>
    <xdr:from>
      <xdr:col>2</xdr:col>
      <xdr:colOff>92103</xdr:colOff>
      <xdr:row>31</xdr:row>
      <xdr:rowOff>81169</xdr:rowOff>
    </xdr:from>
    <xdr:to>
      <xdr:col>3</xdr:col>
      <xdr:colOff>297843</xdr:colOff>
      <xdr:row>32</xdr:row>
      <xdr:rowOff>96409</xdr:rowOff>
    </xdr:to>
    <xdr:sp macro="" textlink="Pivots!D11">
      <xdr:nvSpPr>
        <xdr:cNvPr id="19" name="TextBox 18">
          <a:extLst>
            <a:ext uri="{FF2B5EF4-FFF2-40B4-BE49-F238E27FC236}">
              <a16:creationId xmlns:a16="http://schemas.microsoft.com/office/drawing/2014/main" id="{69A4AC5C-C330-42D5-AC56-3729379CB545}"/>
            </a:ext>
          </a:extLst>
        </xdr:cNvPr>
        <xdr:cNvSpPr txBox="1"/>
      </xdr:nvSpPr>
      <xdr:spPr>
        <a:xfrm>
          <a:off x="635442" y="5832612"/>
          <a:ext cx="815340" cy="200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4A4EA4-5205-4876-AF91-BEBF618EDA1B}" type="TxLink">
            <a:rPr lang="en-US" sz="1100" b="0" i="0" u="none" strike="noStrike">
              <a:solidFill>
                <a:schemeClr val="bg1"/>
              </a:solidFill>
              <a:latin typeface="Aptos Display"/>
            </a:rPr>
            <a:pPr algn="ctr"/>
            <a:t>3.9</a:t>
          </a:fld>
          <a:endParaRPr lang="en-IN" sz="1100">
            <a:solidFill>
              <a:schemeClr val="bg1"/>
            </a:solidFill>
          </a:endParaRPr>
        </a:p>
      </xdr:txBody>
    </xdr:sp>
    <xdr:clientData/>
  </xdr:twoCellAnchor>
  <xdr:twoCellAnchor>
    <xdr:from>
      <xdr:col>2</xdr:col>
      <xdr:colOff>106680</xdr:colOff>
      <xdr:row>35</xdr:row>
      <xdr:rowOff>175260</xdr:rowOff>
    </xdr:from>
    <xdr:to>
      <xdr:col>4</xdr:col>
      <xdr:colOff>525780</xdr:colOff>
      <xdr:row>37</xdr:row>
      <xdr:rowOff>60960</xdr:rowOff>
    </xdr:to>
    <xdr:sp macro="" textlink="">
      <xdr:nvSpPr>
        <xdr:cNvPr id="21" name="TextBox 20">
          <a:extLst>
            <a:ext uri="{FF2B5EF4-FFF2-40B4-BE49-F238E27FC236}">
              <a16:creationId xmlns:a16="http://schemas.microsoft.com/office/drawing/2014/main" id="{F3EC879F-6258-4C93-8CF7-B27ABF39BFBF}"/>
            </a:ext>
          </a:extLst>
        </xdr:cNvPr>
        <xdr:cNvSpPr txBox="1"/>
      </xdr:nvSpPr>
      <xdr:spPr>
        <a:xfrm>
          <a:off x="655320" y="6576060"/>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lumMod val="95000"/>
                </a:schemeClr>
              </a:solidFill>
            </a:rPr>
            <a:t>Happy callers</a:t>
          </a:r>
        </a:p>
      </xdr:txBody>
    </xdr:sp>
    <xdr:clientData/>
  </xdr:twoCellAnchor>
  <xdr:twoCellAnchor editAs="oneCell">
    <xdr:from>
      <xdr:col>1</xdr:col>
      <xdr:colOff>221232</xdr:colOff>
      <xdr:row>36</xdr:row>
      <xdr:rowOff>37643</xdr:rowOff>
    </xdr:from>
    <xdr:to>
      <xdr:col>2</xdr:col>
      <xdr:colOff>116934</xdr:colOff>
      <xdr:row>37</xdr:row>
      <xdr:rowOff>24785</xdr:rowOff>
    </xdr:to>
    <xdr:pic>
      <xdr:nvPicPr>
        <xdr:cNvPr id="22" name="Graphic 21">
          <a:extLst>
            <a:ext uri="{FF2B5EF4-FFF2-40B4-BE49-F238E27FC236}">
              <a16:creationId xmlns:a16="http://schemas.microsoft.com/office/drawing/2014/main" id="{FC2C8392-0297-44D1-9E80-D029083ACA0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95552" y="6621323"/>
          <a:ext cx="170022" cy="170022"/>
        </a:xfrm>
        <a:prstGeom prst="rect">
          <a:avLst/>
        </a:prstGeom>
      </xdr:spPr>
    </xdr:pic>
    <xdr:clientData/>
  </xdr:twoCellAnchor>
  <xdr:twoCellAnchor>
    <xdr:from>
      <xdr:col>2</xdr:col>
      <xdr:colOff>106680</xdr:colOff>
      <xdr:row>39</xdr:row>
      <xdr:rowOff>144780</xdr:rowOff>
    </xdr:from>
    <xdr:to>
      <xdr:col>3</xdr:col>
      <xdr:colOff>312420</xdr:colOff>
      <xdr:row>40</xdr:row>
      <xdr:rowOff>160020</xdr:rowOff>
    </xdr:to>
    <xdr:sp macro="" textlink="Pivots!E11">
      <xdr:nvSpPr>
        <xdr:cNvPr id="23" name="TextBox 22">
          <a:extLst>
            <a:ext uri="{FF2B5EF4-FFF2-40B4-BE49-F238E27FC236}">
              <a16:creationId xmlns:a16="http://schemas.microsoft.com/office/drawing/2014/main" id="{1DC3016E-7F32-4CA9-89C4-D53ECDE98ED6}"/>
            </a:ext>
          </a:extLst>
        </xdr:cNvPr>
        <xdr:cNvSpPr txBox="1"/>
      </xdr:nvSpPr>
      <xdr:spPr>
        <a:xfrm>
          <a:off x="655320" y="7277100"/>
          <a:ext cx="815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307647-C041-4D96-8005-B5C294EA9864}" type="TxLink">
            <a:rPr lang="en-US" sz="1100" b="0" i="0" u="none" strike="noStrike">
              <a:solidFill>
                <a:schemeClr val="bg1"/>
              </a:solidFill>
              <a:latin typeface="Aptos Display"/>
              <a:ea typeface="+mn-ea"/>
              <a:cs typeface="+mn-cs"/>
            </a:rPr>
            <a:pPr marL="0" indent="0" algn="ctr"/>
            <a:t>60</a:t>
          </a:fld>
          <a:endParaRPr lang="en-IN" sz="1100" b="0" i="0" u="none" strike="noStrike">
            <a:solidFill>
              <a:schemeClr val="bg1"/>
            </a:solidFill>
            <a:latin typeface="Aptos Display"/>
            <a:ea typeface="+mn-ea"/>
            <a:cs typeface="+mn-cs"/>
          </a:endParaRPr>
        </a:p>
      </xdr:txBody>
    </xdr:sp>
    <xdr:clientData/>
  </xdr:twoCellAnchor>
  <xdr:twoCellAnchor editAs="oneCell">
    <xdr:from>
      <xdr:col>12</xdr:col>
      <xdr:colOff>365429</xdr:colOff>
      <xdr:row>17</xdr:row>
      <xdr:rowOff>30150</xdr:rowOff>
    </xdr:from>
    <xdr:to>
      <xdr:col>14</xdr:col>
      <xdr:colOff>510209</xdr:colOff>
      <xdr:row>29</xdr:row>
      <xdr:rowOff>53010</xdr:rowOff>
    </xdr:to>
    <mc:AlternateContent xmlns:mc="http://schemas.openxmlformats.org/markup-compatibility/2006" xmlns:a14="http://schemas.microsoft.com/office/drawing/2010/main">
      <mc:Choice Requires="a14">
        <xdr:graphicFrame macro="">
          <xdr:nvGraphicFramePr>
            <xdr:cNvPr id="26" name="Representative">
              <a:extLst>
                <a:ext uri="{FF2B5EF4-FFF2-40B4-BE49-F238E27FC236}">
                  <a16:creationId xmlns:a16="http://schemas.microsoft.com/office/drawing/2014/main" id="{0EF5D313-517D-4EF5-91B8-116BF94DC54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017241" y="3176762"/>
              <a:ext cx="1363980" cy="2174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502920</xdr:colOff>
      <xdr:row>3</xdr:row>
      <xdr:rowOff>106680</xdr:rowOff>
    </xdr:from>
    <xdr:to>
      <xdr:col>14</xdr:col>
      <xdr:colOff>7620</xdr:colOff>
      <xdr:row>14</xdr:row>
      <xdr:rowOff>30480</xdr:rowOff>
    </xdr:to>
    <xdr:graphicFrame macro="">
      <xdr:nvGraphicFramePr>
        <xdr:cNvPr id="6" name="Chart 5">
          <a:extLst>
            <a:ext uri="{FF2B5EF4-FFF2-40B4-BE49-F238E27FC236}">
              <a16:creationId xmlns:a16="http://schemas.microsoft.com/office/drawing/2014/main" id="{09E4144F-29A4-4BC5-BA27-AC6F7D3B8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434340</xdr:colOff>
      <xdr:row>2</xdr:row>
      <xdr:rowOff>129540</xdr:rowOff>
    </xdr:from>
    <xdr:to>
      <xdr:col>11</xdr:col>
      <xdr:colOff>45720</xdr:colOff>
      <xdr:row>15</xdr:row>
      <xdr:rowOff>22860</xdr:rowOff>
    </xdr:to>
    <xdr:graphicFrame macro="">
      <xdr:nvGraphicFramePr>
        <xdr:cNvPr id="27" name="Chart 26">
          <a:extLst>
            <a:ext uri="{FF2B5EF4-FFF2-40B4-BE49-F238E27FC236}">
              <a16:creationId xmlns:a16="http://schemas.microsoft.com/office/drawing/2014/main" id="{92B065C2-AF68-40F5-A3BA-B2914393E1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502920</xdr:colOff>
      <xdr:row>17</xdr:row>
      <xdr:rowOff>53340</xdr:rowOff>
    </xdr:from>
    <xdr:to>
      <xdr:col>12</xdr:col>
      <xdr:colOff>236220</xdr:colOff>
      <xdr:row>30</xdr:row>
      <xdr:rowOff>121920</xdr:rowOff>
    </xdr:to>
    <xdr:sp macro="" textlink="">
      <xdr:nvSpPr>
        <xdr:cNvPr id="25" name="Rectangle 24">
          <a:extLst>
            <a:ext uri="{FF2B5EF4-FFF2-40B4-BE49-F238E27FC236}">
              <a16:creationId xmlns:a16="http://schemas.microsoft.com/office/drawing/2014/main" id="{B545D49B-F68F-8E52-F5C5-28EC73ACEAAF}"/>
            </a:ext>
          </a:extLst>
        </xdr:cNvPr>
        <xdr:cNvSpPr/>
      </xdr:nvSpPr>
      <xdr:spPr>
        <a:xfrm>
          <a:off x="2270760" y="3162300"/>
          <a:ext cx="4610100" cy="2446020"/>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548640</xdr:colOff>
      <xdr:row>17</xdr:row>
      <xdr:rowOff>152400</xdr:rowOff>
    </xdr:from>
    <xdr:to>
      <xdr:col>9</xdr:col>
      <xdr:colOff>91440</xdr:colOff>
      <xdr:row>30</xdr:row>
      <xdr:rowOff>38100</xdr:rowOff>
    </xdr:to>
    <xdr:graphicFrame macro="">
      <xdr:nvGraphicFramePr>
        <xdr:cNvPr id="7" name="Chart 6">
          <a:extLst>
            <a:ext uri="{FF2B5EF4-FFF2-40B4-BE49-F238E27FC236}">
              <a16:creationId xmlns:a16="http://schemas.microsoft.com/office/drawing/2014/main" id="{C35A60F8-BE68-436D-905D-2745032F4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479985</xdr:colOff>
      <xdr:row>17</xdr:row>
      <xdr:rowOff>167640</xdr:rowOff>
    </xdr:from>
    <xdr:to>
      <xdr:col>11</xdr:col>
      <xdr:colOff>556260</xdr:colOff>
      <xdr:row>30</xdr:row>
      <xdr:rowOff>30480</xdr:rowOff>
    </xdr:to>
    <xdr:graphicFrame macro="">
      <xdr:nvGraphicFramePr>
        <xdr:cNvPr id="24" name="Chart 23">
          <a:extLst>
            <a:ext uri="{FF2B5EF4-FFF2-40B4-BE49-F238E27FC236}">
              <a16:creationId xmlns:a16="http://schemas.microsoft.com/office/drawing/2014/main" id="{E491A052-38E0-4EF5-8D0A-3604D3997B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321696</xdr:colOff>
      <xdr:row>2</xdr:row>
      <xdr:rowOff>144118</xdr:rowOff>
    </xdr:from>
    <xdr:to>
      <xdr:col>17</xdr:col>
      <xdr:colOff>145774</xdr:colOff>
      <xdr:row>13</xdr:row>
      <xdr:rowOff>66261</xdr:rowOff>
    </xdr:to>
    <xdr:graphicFrame macro="">
      <xdr:nvGraphicFramePr>
        <xdr:cNvPr id="28" name="Chart 27">
          <a:extLst>
            <a:ext uri="{FF2B5EF4-FFF2-40B4-BE49-F238E27FC236}">
              <a16:creationId xmlns:a16="http://schemas.microsoft.com/office/drawing/2014/main" id="{E582C347-8A0C-4B95-9616-AF54D7982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364435</xdr:colOff>
      <xdr:row>2</xdr:row>
      <xdr:rowOff>125896</xdr:rowOff>
    </xdr:from>
    <xdr:to>
      <xdr:col>21</xdr:col>
      <xdr:colOff>33131</xdr:colOff>
      <xdr:row>13</xdr:row>
      <xdr:rowOff>19878</xdr:rowOff>
    </xdr:to>
    <xdr:graphicFrame macro="">
      <xdr:nvGraphicFramePr>
        <xdr:cNvPr id="29" name="Chart 28">
          <a:extLst>
            <a:ext uri="{FF2B5EF4-FFF2-40B4-BE49-F238E27FC236}">
              <a16:creationId xmlns:a16="http://schemas.microsoft.com/office/drawing/2014/main" id="{E7B3B205-BB56-4CDF-BAB8-3FC682221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0.64531</cdr:x>
      <cdr:y>0.0672</cdr:y>
    </cdr:from>
    <cdr:to>
      <cdr:x>0.71199</cdr:x>
      <cdr:y>0.14129</cdr:y>
    </cdr:to>
    <cdr:pic>
      <cdr:nvPicPr>
        <cdr:cNvPr id="3" name="Graphic 2" descr="Star with solid fill">
          <a:extLst xmlns:a="http://schemas.openxmlformats.org/drawingml/2006/main">
            <a:ext uri="{FF2B5EF4-FFF2-40B4-BE49-F238E27FC236}">
              <a16:creationId xmlns:a16="http://schemas.microsoft.com/office/drawing/2014/main" id="{B59F3417-6541-6155-02E6-AD805F60E51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359736" y="125412"/>
          <a:ext cx="140487" cy="13827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344058</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2</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183145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198782</xdr:colOff>
      <xdr:row>2</xdr:row>
      <xdr:rowOff>22531</xdr:rowOff>
    </xdr:from>
    <xdr:to>
      <xdr:col>5</xdr:col>
      <xdr:colOff>571461</xdr:colOff>
      <xdr:row>2</xdr:row>
      <xdr:rowOff>321173</xdr:rowOff>
    </xdr:to>
    <xdr:pic>
      <xdr:nvPicPr>
        <xdr:cNvPr id="9" name="Picture 8" descr="Smiling businesswoman with digital tablet looking out office window">
          <a:extLst>
            <a:ext uri="{FF2B5EF4-FFF2-40B4-BE49-F238E27FC236}">
              <a16:creationId xmlns:a16="http://schemas.microsoft.com/office/drawing/2014/main" id="{8F1D425D-D60B-D6C3-AA59-01FE1F319EB3}"/>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397922" y="343705"/>
          <a:ext cx="372679" cy="298642"/>
        </a:xfrm>
        <a:prstGeom prst="flowChartConnector">
          <a:avLst/>
        </a:prstGeom>
      </xdr:spPr>
    </xdr:pic>
    <xdr:clientData/>
  </xdr:twoCellAnchor>
  <xdr:twoCellAnchor>
    <xdr:from>
      <xdr:col>5</xdr:col>
      <xdr:colOff>154045</xdr:colOff>
      <xdr:row>3</xdr:row>
      <xdr:rowOff>17543</xdr:rowOff>
    </xdr:from>
    <xdr:to>
      <xdr:col>5</xdr:col>
      <xdr:colOff>535289</xdr:colOff>
      <xdr:row>3</xdr:row>
      <xdr:rowOff>309423</xdr:rowOff>
    </xdr:to>
    <xdr:pic>
      <xdr:nvPicPr>
        <xdr:cNvPr id="14" name="Picture 13">
          <a:extLst>
            <a:ext uri="{FF2B5EF4-FFF2-40B4-BE49-F238E27FC236}">
              <a16:creationId xmlns:a16="http://schemas.microsoft.com/office/drawing/2014/main" id="{B5FD8E2A-34B1-3C2A-5E57-BD4F5569F0EC}"/>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b="7576"/>
        <a:stretch>
          <a:fillRect/>
        </a:stretch>
      </xdr:blipFill>
      <xdr:spPr>
        <a:xfrm>
          <a:off x="3353185" y="842518"/>
          <a:ext cx="381244" cy="291880"/>
        </a:xfrm>
        <a:prstGeom prst="flowChartConnector">
          <a:avLst/>
        </a:prstGeom>
      </xdr:spPr>
    </xdr:pic>
    <xdr:clientData/>
  </xdr:twoCellAnchor>
  <xdr:twoCellAnchor>
    <xdr:from>
      <xdr:col>5</xdr:col>
      <xdr:colOff>165652</xdr:colOff>
      <xdr:row>4</xdr:row>
      <xdr:rowOff>24763</xdr:rowOff>
    </xdr:from>
    <xdr:to>
      <xdr:col>5</xdr:col>
      <xdr:colOff>589722</xdr:colOff>
      <xdr:row>4</xdr:row>
      <xdr:rowOff>474296</xdr:rowOff>
    </xdr:to>
    <xdr:pic>
      <xdr:nvPicPr>
        <xdr:cNvPr id="16" name="Picture 15">
          <a:extLst>
            <a:ext uri="{FF2B5EF4-FFF2-40B4-BE49-F238E27FC236}">
              <a16:creationId xmlns:a16="http://schemas.microsoft.com/office/drawing/2014/main" id="{89912715-BF43-1F12-A4F5-F8191A3C8EC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670852" y="1356606"/>
          <a:ext cx="424070" cy="449533"/>
        </a:xfrm>
        <a:prstGeom prst="flowChartConnector">
          <a:avLst/>
        </a:prstGeom>
      </xdr:spPr>
    </xdr:pic>
    <xdr:clientData/>
  </xdr:twoCellAnchor>
  <xdr:twoCellAnchor>
    <xdr:from>
      <xdr:col>5</xdr:col>
      <xdr:colOff>182628</xdr:colOff>
      <xdr:row>5</xdr:row>
      <xdr:rowOff>48684</xdr:rowOff>
    </xdr:from>
    <xdr:to>
      <xdr:col>5</xdr:col>
      <xdr:colOff>604561</xdr:colOff>
      <xdr:row>5</xdr:row>
      <xdr:rowOff>491205</xdr:rowOff>
    </xdr:to>
    <xdr:pic>
      <xdr:nvPicPr>
        <xdr:cNvPr id="18" name="Picture 17">
          <a:extLst>
            <a:ext uri="{FF2B5EF4-FFF2-40B4-BE49-F238E27FC236}">
              <a16:creationId xmlns:a16="http://schemas.microsoft.com/office/drawing/2014/main" id="{0C1BB50F-BFCD-DC18-1B80-014D1AE8CD9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684049" y="1881263"/>
          <a:ext cx="421933" cy="442521"/>
        </a:xfrm>
        <a:prstGeom prst="flowChartConnector">
          <a:avLst/>
        </a:prstGeom>
      </xdr:spPr>
    </xdr:pic>
    <xdr:clientData/>
  </xdr:twoCellAnchor>
  <xdr:twoCellAnchor>
    <xdr:from>
      <xdr:col>5</xdr:col>
      <xdr:colOff>176330</xdr:colOff>
      <xdr:row>6</xdr:row>
      <xdr:rowOff>25190</xdr:rowOff>
    </xdr:from>
    <xdr:to>
      <xdr:col>5</xdr:col>
      <xdr:colOff>608009</xdr:colOff>
      <xdr:row>6</xdr:row>
      <xdr:rowOff>491207</xdr:rowOff>
    </xdr:to>
    <xdr:pic>
      <xdr:nvPicPr>
        <xdr:cNvPr id="20" name="Picture 19">
          <a:extLst>
            <a:ext uri="{FF2B5EF4-FFF2-40B4-BE49-F238E27FC236}">
              <a16:creationId xmlns:a16="http://schemas.microsoft.com/office/drawing/2014/main" id="{7AC0979A-90C2-ED6C-15CF-FDA5C104748F}"/>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b="7223"/>
        <a:stretch>
          <a:fillRect/>
        </a:stretch>
      </xdr:blipFill>
      <xdr:spPr>
        <a:xfrm>
          <a:off x="3677751" y="2361570"/>
          <a:ext cx="431679" cy="466017"/>
        </a:xfrm>
        <a:prstGeom prst="flowChartConnector">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8.429967824071" backgroundQuery="1" createdVersion="8" refreshedVersion="8" minRefreshableVersion="3" recordCount="0" supportSubquery="1" supportAdvancedDrill="1" xr:uid="{5A01795F-9531-461F-AAF6-2F91B68DDDE2}">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 Rating Calls]" caption="5 * Rating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 Rating Calls]" caption="5 * Rating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9.415047916664" backgroundQuery="1" createdVersion="8" refreshedVersion="8" minRefreshableVersion="3" recordCount="0" supportSubquery="1" supportAdvancedDrill="1" xr:uid="{508831DC-FA11-460C-9924-10487363524F}">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9.366872685183" backgroundQuery="1" createdVersion="8" refreshedVersion="8" minRefreshableVersion="3" recordCount="0" supportSubquery="1" supportAdvancedDrill="1" xr:uid="{3EF547F6-AD8B-4769-BEE4-84FA22BC5B3F}">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1.956354513888" backgroundQuery="1" createdVersion="8" refreshedVersion="8" minRefreshableVersion="3" recordCount="0" supportSubquery="1" supportAdvancedDrill="1" xr:uid="{A5395BE6-141E-4495-A584-9A5B7B1460B2}">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3.485416319447" backgroundQuery="1" createdVersion="8" refreshedVersion="8" minRefreshableVersion="3" recordCount="0" supportSubquery="1" supportAdvancedDrill="1" xr:uid="{8858DEE7-94FF-480C-8C61-4947E2F4397B}">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 Rating Calls]" caption="5 * Rating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 Rating Calls]" caption="5 * Rating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3.485416898147" backgroundQuery="1" createdVersion="8" refreshedVersion="8" minRefreshableVersion="3" recordCount="0" supportSubquery="1" supportAdvancedDrill="1" xr:uid="{E23C2199-6754-4875-997D-89C3EC5D8644}">
  <cacheSource type="external" connectionId="2"/>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3.485417361109" backgroundQuery="1" createdVersion="8" refreshedVersion="8" minRefreshableVersion="3" recordCount="0" supportSubquery="1" supportAdvancedDrill="1" xr:uid="{0C4F5B91-130A-45D3-84A5-F73746D5FF7D}">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3.485417708333" backgroundQuery="1" createdVersion="8" refreshedVersion="8" minRefreshableVersion="3" recordCount="0" supportSubquery="1" supportAdvancedDrill="1" xr:uid="{082C928C-4A34-45A3-8322-8999780F7E1F}">
  <cacheSource type="external" connectionId="2"/>
  <cacheFields count="1">
    <cacheField name="[calls].[Representative].[Representative]" caption="Representative" numFmtId="0" hierarchy="3" level="1">
      <sharedItems count="1">
        <s v="R01"/>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93.485418171294" backgroundQuery="1" createdVersion="8" refreshedVersion="8" minRefreshableVersion="3" recordCount="0" supportSubquery="1" supportAdvancedDrill="1" xr:uid="{5287AC46-7848-4031-A9F0-EEE4B770D802}">
  <cacheSource type="external" connectionId="2"/>
  <cacheFields count="3">
    <cacheField name="[Measures].[Count of Call number]" caption="Count of Call number" numFmtId="0" hierarchy="26"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Call number]" caption="Count of Call number" measure="1" displayFolder="" measureGroup="cal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tan" refreshedDate="45988.428667824075" backgroundQuery="1" createdVersion="3" refreshedVersion="8" minRefreshableVersion="3" recordCount="0" supportSubquery="1" supportAdvancedDrill="1" xr:uid="{1C37E43D-3C1B-4740-AE60-F5A9AF784D80}">
  <cacheSource type="external" connectionId="2">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 Rating Calls]" caption="5 * Rating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877050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9B98BD-FAF4-46D6-9974-A86D8A646DF5}" name="rep satisfaction"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5">
  <location ref="A67:B7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Count of Call number" fld="0" subtotal="count" baseField="0" baseItem="0"/>
  </dataFields>
  <chartFormats count="1">
    <chartFormat chart="3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15B439-FD6A-4A0A-9DA6-A499EDD77581}" name="WeekDay trend"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31:B3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5">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167938-10F8-471F-86FB-95B099B70973}"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5:C28"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1" count="1" selected="0">
            <x v="8"/>
          </reference>
        </references>
      </pivotArea>
    </chartFormat>
  </chartFormats>
  <pivotHierarchies count="29">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14952B-0023-486B-8821-CABAE62B05B1}" name="rep pivo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AD5479-9280-469F-AA3D-CDBD749637C2}" name="reps pivo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C50"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3820C0-D94F-4B7D-8DDB-DD3DC44499E7}" name="Summary"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ED1980-F3DA-4181-984C-133E7C44C6C1}" name="seleted rep" cacheId="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5:A5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5">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07D0C4-1C20-4975-A7EE-394D315C4D33}"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58:D6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0" format="4" series="1">
      <pivotArea type="data" outline="0" fieldPosition="0">
        <references count="2">
          <reference field="4294967294" count="1" selected="0">
            <x v="0"/>
          </reference>
          <reference field="1" count="1" selected="0">
            <x v="0"/>
          </reference>
        </references>
      </pivotArea>
    </chartFormat>
    <chartFormat chart="30"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F85D9D-1E8B-4493-B048-BC66BC26138C}" name="rep amounts" cacheId="4"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43">
  <location ref="A79:G98"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C0E1D9F-05AD-4113-A0D6-0A59E3FD9177}"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F379020E-3F94-4FE6-8AF5-B6B482796E28}" sourceName="[calls].[Representative]">
  <pivotTables>
    <pivotTable tabId="6" name="rep pivot"/>
    <pivotTable tabId="6" name="Monthly Trend"/>
    <pivotTable tabId="6" name="WeekDay trend"/>
    <pivotTable tabId="6" name="seleted rep"/>
    <pivotTable tabId="6" name="rep satisfaction"/>
  </pivotTables>
  <data>
    <olap pivotCacheId="128770509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48227ECF-E73B-4192-8043-A181CEDCBBD4}" cache="Slicer_Representative" caption="Representative" level="1" style="SlicerStyleDark5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CAE95E-21D7-4E8C-AC0F-DDD52513B1AA}" name="Table_ExternalData_1" displayName="Table_ExternalData_1" ref="A3:M17" tableType="queryTable" totalsRowShown="0">
  <autoFilter ref="A3:M17" xr:uid="{7FCAE95E-21D7-4E8C-AC0F-DDD52513B1AA}"/>
  <tableColumns count="13">
    <tableColumn id="1" xr3:uid="{0BCFFAF2-F5B1-42FD-8E9C-1021E5645AF8}" uniqueName="1" name="calls[Call number]" queryTableFieldId="1"/>
    <tableColumn id="2" xr3:uid="{DC6D7266-1D9C-4237-9B64-E741F6A96DDD}" uniqueName="2" name="calls[Customer ID]" queryTableFieldId="2"/>
    <tableColumn id="3" xr3:uid="{FCC8372B-E286-44CC-A869-52814C18EDD3}" uniqueName="3" name="calls[Duration]" queryTableFieldId="3"/>
    <tableColumn id="4" xr3:uid="{B4D9CBBB-E978-45B6-9ED0-3BE55233281B}" uniqueName="4" name="calls[Representative]" queryTableFieldId="4"/>
    <tableColumn id="5" xr3:uid="{F8903E70-C355-4DB1-B563-67F99262BC65}" uniqueName="5" name="calls[Date of Call]" queryTableFieldId="5" dataDxfId="16"/>
    <tableColumn id="6" xr3:uid="{2A1C27E0-4470-4602-AA09-99536A8C23F1}" uniqueName="6" name="calls[Purchase Amount]" queryTableFieldId="6"/>
    <tableColumn id="7" xr3:uid="{D170794A-0D44-426F-A00A-295590960394}" uniqueName="7" name="calls[Satisfaction Rating]" queryTableFieldId="7"/>
    <tableColumn id="8" xr3:uid="{9E1B2984-7818-465B-A171-6C4CB8B8ADC7}" uniqueName="8" name="calls[FY]" queryTableFieldId="8"/>
    <tableColumn id="9" xr3:uid="{EA7957B9-E07E-46DA-B305-4E15C1F1B3F9}" uniqueName="9" name="calls[Day of week]" queryTableFieldId="9"/>
    <tableColumn id="10" xr3:uid="{5B5EF295-C925-43D5-9A79-5CD4944B0EC2}" uniqueName="10" name="calls[Duration Bucket]" queryTableFieldId="10"/>
    <tableColumn id="11" xr3:uid="{134EB434-E303-4E53-92BB-D60CECFB1A2A}" uniqueName="11" name="calls[Rating rounded]" queryTableFieldId="11"/>
    <tableColumn id="12" xr3:uid="{DDE73B9B-E293-4640-932C-C60DFDDB4662}" uniqueName="12" name="calls[Date of Call (Month)]" queryTableFieldId="12"/>
    <tableColumn id="13" xr3:uid="{1E0FF084-FA7B-4031-BE70-952475956FAA}"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rial Black"/>
        <a:ea typeface=""/>
        <a:cs typeface=""/>
      </a:majorFont>
      <a:minorFont>
        <a:latin typeface="Aptos Display"/>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D4B3-C8F1-4AB6-B88A-F266A17D1726}">
  <dimension ref="A1:M17"/>
  <sheetViews>
    <sheetView workbookViewId="0"/>
  </sheetViews>
  <sheetFormatPr defaultRowHeight="14.4" x14ac:dyDescent="0.3"/>
  <cols>
    <col min="1" max="1" width="19.21875" bestFit="1" customWidth="1"/>
    <col min="2" max="2" width="19.6640625" bestFit="1" customWidth="1"/>
    <col min="3" max="3" width="16.21875" bestFit="1" customWidth="1"/>
    <col min="4" max="4" width="21.77734375" bestFit="1" customWidth="1"/>
    <col min="5" max="5" width="18.6640625" bestFit="1" customWidth="1"/>
    <col min="6" max="6" width="24.33203125" bestFit="1" customWidth="1"/>
    <col min="7" max="7" width="24.88671875" bestFit="1" customWidth="1"/>
    <col min="8" max="8" width="10.77734375" bestFit="1" customWidth="1"/>
    <col min="9" max="9" width="19" bestFit="1" customWidth="1"/>
    <col min="10" max="10" width="22.6640625" bestFit="1" customWidth="1"/>
    <col min="11" max="11" width="21.77734375" bestFit="1" customWidth="1"/>
    <col min="12" max="12" width="26.109375" bestFit="1" customWidth="1"/>
    <col min="13" max="13" width="31.33203125" bestFit="1" customWidth="1"/>
  </cols>
  <sheetData>
    <row r="1" spans="1:13" x14ac:dyDescent="0.3">
      <c r="A1" s="14" t="s">
        <v>1098</v>
      </c>
    </row>
    <row r="3" spans="1:13" x14ac:dyDescent="0.3">
      <c r="A3" t="s">
        <v>1081</v>
      </c>
      <c r="B3" t="s">
        <v>1082</v>
      </c>
      <c r="C3" t="s">
        <v>1083</v>
      </c>
      <c r="D3" t="s">
        <v>1084</v>
      </c>
      <c r="E3" t="s">
        <v>1085</v>
      </c>
      <c r="F3" t="s">
        <v>1086</v>
      </c>
      <c r="G3" t="s">
        <v>1087</v>
      </c>
      <c r="H3" t="s">
        <v>1088</v>
      </c>
      <c r="I3" t="s">
        <v>1089</v>
      </c>
      <c r="J3" t="s">
        <v>1090</v>
      </c>
      <c r="K3" t="s">
        <v>1091</v>
      </c>
      <c r="L3" t="s">
        <v>1092</v>
      </c>
      <c r="M3" t="s">
        <v>1093</v>
      </c>
    </row>
    <row r="4" spans="1:13" x14ac:dyDescent="0.3">
      <c r="A4" t="s">
        <v>270</v>
      </c>
      <c r="B4" t="s">
        <v>22</v>
      </c>
      <c r="C4">
        <v>140</v>
      </c>
      <c r="D4" t="s">
        <v>11</v>
      </c>
      <c r="E4" s="30">
        <v>45004</v>
      </c>
      <c r="F4">
        <v>93</v>
      </c>
      <c r="G4">
        <v>4.4000000000000004</v>
      </c>
      <c r="H4">
        <v>2023</v>
      </c>
      <c r="I4" t="s">
        <v>1066</v>
      </c>
      <c r="J4" t="s">
        <v>1094</v>
      </c>
      <c r="K4">
        <v>4</v>
      </c>
      <c r="L4" t="s">
        <v>1052</v>
      </c>
      <c r="M4">
        <v>3</v>
      </c>
    </row>
    <row r="5" spans="1:13" x14ac:dyDescent="0.3">
      <c r="A5" t="s">
        <v>404</v>
      </c>
      <c r="B5" t="s">
        <v>22</v>
      </c>
      <c r="C5">
        <v>69</v>
      </c>
      <c r="D5" t="s">
        <v>11</v>
      </c>
      <c r="E5" s="30">
        <v>45035</v>
      </c>
      <c r="F5">
        <v>32</v>
      </c>
      <c r="G5">
        <v>3.6</v>
      </c>
      <c r="H5">
        <v>2023</v>
      </c>
      <c r="I5" t="s">
        <v>1069</v>
      </c>
      <c r="J5" t="s">
        <v>1095</v>
      </c>
      <c r="K5">
        <v>4</v>
      </c>
      <c r="L5" t="s">
        <v>1053</v>
      </c>
      <c r="M5">
        <v>4</v>
      </c>
    </row>
    <row r="6" spans="1:13" x14ac:dyDescent="0.3">
      <c r="A6" t="s">
        <v>429</v>
      </c>
      <c r="B6" t="s">
        <v>22</v>
      </c>
      <c r="C6">
        <v>127</v>
      </c>
      <c r="D6" t="s">
        <v>11</v>
      </c>
      <c r="E6" s="30">
        <v>45039</v>
      </c>
      <c r="F6">
        <v>160</v>
      </c>
      <c r="G6">
        <v>3.2</v>
      </c>
      <c r="H6">
        <v>2023</v>
      </c>
      <c r="I6" t="s">
        <v>1066</v>
      </c>
      <c r="J6" t="s">
        <v>1094</v>
      </c>
      <c r="K6">
        <v>3</v>
      </c>
      <c r="L6" t="s">
        <v>1053</v>
      </c>
      <c r="M6">
        <v>4</v>
      </c>
    </row>
    <row r="7" spans="1:13" x14ac:dyDescent="0.3">
      <c r="A7" t="s">
        <v>458</v>
      </c>
      <c r="B7" t="s">
        <v>22</v>
      </c>
      <c r="C7">
        <v>93</v>
      </c>
      <c r="D7" t="s">
        <v>11</v>
      </c>
      <c r="E7" s="30">
        <v>45045</v>
      </c>
      <c r="F7">
        <v>150</v>
      </c>
      <c r="G7">
        <v>4.5999999999999996</v>
      </c>
      <c r="H7">
        <v>2023</v>
      </c>
      <c r="I7" t="s">
        <v>1065</v>
      </c>
      <c r="J7" t="s">
        <v>1095</v>
      </c>
      <c r="K7">
        <v>5</v>
      </c>
      <c r="L7" t="s">
        <v>1053</v>
      </c>
      <c r="M7">
        <v>4</v>
      </c>
    </row>
    <row r="8" spans="1:13" x14ac:dyDescent="0.3">
      <c r="A8" t="s">
        <v>485</v>
      </c>
      <c r="B8" t="s">
        <v>22</v>
      </c>
      <c r="C8">
        <v>25</v>
      </c>
      <c r="D8" t="s">
        <v>11</v>
      </c>
      <c r="E8" s="30">
        <v>45054</v>
      </c>
      <c r="F8">
        <v>52</v>
      </c>
      <c r="G8">
        <v>3.8</v>
      </c>
      <c r="H8">
        <v>2023</v>
      </c>
      <c r="I8" t="s">
        <v>1064</v>
      </c>
      <c r="J8" t="s">
        <v>1096</v>
      </c>
      <c r="K8">
        <v>4</v>
      </c>
      <c r="L8" t="s">
        <v>1054</v>
      </c>
      <c r="M8">
        <v>5</v>
      </c>
    </row>
    <row r="9" spans="1:13" x14ac:dyDescent="0.3">
      <c r="A9" t="s">
        <v>538</v>
      </c>
      <c r="B9" t="s">
        <v>22</v>
      </c>
      <c r="C9">
        <v>62</v>
      </c>
      <c r="D9" t="s">
        <v>11</v>
      </c>
      <c r="E9" s="30">
        <v>45076</v>
      </c>
      <c r="F9">
        <v>125</v>
      </c>
      <c r="G9">
        <v>3.5</v>
      </c>
      <c r="H9">
        <v>2023</v>
      </c>
      <c r="I9" t="s">
        <v>1068</v>
      </c>
      <c r="J9" t="s">
        <v>1095</v>
      </c>
      <c r="K9">
        <v>4</v>
      </c>
      <c r="L9" t="s">
        <v>1054</v>
      </c>
      <c r="M9">
        <v>5</v>
      </c>
    </row>
    <row r="10" spans="1:13" x14ac:dyDescent="0.3">
      <c r="A10" t="s">
        <v>553</v>
      </c>
      <c r="B10" t="s">
        <v>22</v>
      </c>
      <c r="C10">
        <v>48</v>
      </c>
      <c r="D10" t="s">
        <v>11</v>
      </c>
      <c r="E10" s="30">
        <v>45082</v>
      </c>
      <c r="F10">
        <v>120</v>
      </c>
      <c r="G10">
        <v>4.0999999999999996</v>
      </c>
      <c r="H10">
        <v>2023</v>
      </c>
      <c r="I10" t="s">
        <v>1064</v>
      </c>
      <c r="J10" t="s">
        <v>1097</v>
      </c>
      <c r="K10">
        <v>4</v>
      </c>
      <c r="L10" t="s">
        <v>1055</v>
      </c>
      <c r="M10">
        <v>6</v>
      </c>
    </row>
    <row r="11" spans="1:13" x14ac:dyDescent="0.3">
      <c r="A11" t="s">
        <v>654</v>
      </c>
      <c r="B11" t="s">
        <v>22</v>
      </c>
      <c r="C11">
        <v>172</v>
      </c>
      <c r="D11" t="s">
        <v>11</v>
      </c>
      <c r="E11" s="30">
        <v>45127</v>
      </c>
      <c r="F11">
        <v>27</v>
      </c>
      <c r="G11">
        <v>4.2</v>
      </c>
      <c r="H11">
        <v>2024</v>
      </c>
      <c r="I11" t="s">
        <v>1067</v>
      </c>
      <c r="J11" t="s">
        <v>1094</v>
      </c>
      <c r="K11">
        <v>4</v>
      </c>
      <c r="L11" t="s">
        <v>1056</v>
      </c>
      <c r="M11">
        <v>7</v>
      </c>
    </row>
    <row r="12" spans="1:13" x14ac:dyDescent="0.3">
      <c r="A12" t="s">
        <v>823</v>
      </c>
      <c r="B12" t="s">
        <v>22</v>
      </c>
      <c r="C12">
        <v>118</v>
      </c>
      <c r="D12" t="s">
        <v>11</v>
      </c>
      <c r="E12" s="30">
        <v>45204</v>
      </c>
      <c r="F12">
        <v>56</v>
      </c>
      <c r="G12">
        <v>3.7</v>
      </c>
      <c r="H12">
        <v>2024</v>
      </c>
      <c r="I12" t="s">
        <v>1067</v>
      </c>
      <c r="J12" t="s">
        <v>1095</v>
      </c>
      <c r="K12">
        <v>4</v>
      </c>
      <c r="L12" t="s">
        <v>1059</v>
      </c>
      <c r="M12">
        <v>10</v>
      </c>
    </row>
    <row r="13" spans="1:13" x14ac:dyDescent="0.3">
      <c r="A13" t="s">
        <v>898</v>
      </c>
      <c r="B13" t="s">
        <v>22</v>
      </c>
      <c r="C13">
        <v>109</v>
      </c>
      <c r="D13" t="s">
        <v>11</v>
      </c>
      <c r="E13" s="30">
        <v>45225</v>
      </c>
      <c r="F13">
        <v>180</v>
      </c>
      <c r="G13">
        <v>3.8</v>
      </c>
      <c r="H13">
        <v>2024</v>
      </c>
      <c r="I13" t="s">
        <v>1067</v>
      </c>
      <c r="J13" t="s">
        <v>1095</v>
      </c>
      <c r="K13">
        <v>4</v>
      </c>
      <c r="L13" t="s">
        <v>1059</v>
      </c>
      <c r="M13">
        <v>10</v>
      </c>
    </row>
    <row r="14" spans="1:13" x14ac:dyDescent="0.3">
      <c r="A14" t="s">
        <v>939</v>
      </c>
      <c r="B14" t="s">
        <v>22</v>
      </c>
      <c r="C14">
        <v>91</v>
      </c>
      <c r="D14" t="s">
        <v>11</v>
      </c>
      <c r="E14" s="30">
        <v>45243</v>
      </c>
      <c r="F14">
        <v>108</v>
      </c>
      <c r="G14">
        <v>3.8</v>
      </c>
      <c r="H14">
        <v>2024</v>
      </c>
      <c r="I14" t="s">
        <v>1064</v>
      </c>
      <c r="J14" t="s">
        <v>1095</v>
      </c>
      <c r="K14">
        <v>4</v>
      </c>
      <c r="L14" t="s">
        <v>1060</v>
      </c>
      <c r="M14">
        <v>11</v>
      </c>
    </row>
    <row r="15" spans="1:13" x14ac:dyDescent="0.3">
      <c r="A15" t="s">
        <v>988</v>
      </c>
      <c r="B15" t="s">
        <v>22</v>
      </c>
      <c r="C15">
        <v>63</v>
      </c>
      <c r="D15" t="s">
        <v>11</v>
      </c>
      <c r="E15" s="30">
        <v>45269</v>
      </c>
      <c r="F15">
        <v>82</v>
      </c>
      <c r="G15">
        <v>3.7</v>
      </c>
      <c r="H15">
        <v>2024</v>
      </c>
      <c r="I15" t="s">
        <v>1065</v>
      </c>
      <c r="J15" t="s">
        <v>1095</v>
      </c>
      <c r="K15">
        <v>4</v>
      </c>
      <c r="L15" t="s">
        <v>1061</v>
      </c>
      <c r="M15">
        <v>12</v>
      </c>
    </row>
    <row r="16" spans="1:13" x14ac:dyDescent="0.3">
      <c r="A16" t="s">
        <v>1013</v>
      </c>
      <c r="B16" t="s">
        <v>22</v>
      </c>
      <c r="C16">
        <v>120</v>
      </c>
      <c r="D16" t="s">
        <v>11</v>
      </c>
      <c r="E16" s="30">
        <v>45280</v>
      </c>
      <c r="F16">
        <v>190</v>
      </c>
      <c r="G16">
        <v>3.7</v>
      </c>
      <c r="H16">
        <v>2024</v>
      </c>
      <c r="I16" t="s">
        <v>1069</v>
      </c>
      <c r="J16" t="s">
        <v>1095</v>
      </c>
      <c r="K16">
        <v>4</v>
      </c>
      <c r="L16" t="s">
        <v>1061</v>
      </c>
      <c r="M16">
        <v>12</v>
      </c>
    </row>
    <row r="17" spans="1:13" x14ac:dyDescent="0.3">
      <c r="A17" t="s">
        <v>1035</v>
      </c>
      <c r="B17" t="s">
        <v>22</v>
      </c>
      <c r="C17">
        <v>114</v>
      </c>
      <c r="D17" t="s">
        <v>11</v>
      </c>
      <c r="E17" s="30">
        <v>45291</v>
      </c>
      <c r="F17">
        <v>40</v>
      </c>
      <c r="G17">
        <v>3.9</v>
      </c>
      <c r="H17">
        <v>2024</v>
      </c>
      <c r="I17" t="s">
        <v>1066</v>
      </c>
      <c r="J17" t="s">
        <v>1095</v>
      </c>
      <c r="K17">
        <v>4</v>
      </c>
      <c r="L17" t="s">
        <v>1061</v>
      </c>
      <c r="M17">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D0550-23E6-4ECE-88FB-C7046FEC3829}">
  <dimension ref="A3:I98"/>
  <sheetViews>
    <sheetView topLeftCell="A58" zoomScale="115" zoomScaleNormal="115" workbookViewId="0">
      <selection activeCell="I70" sqref="I70"/>
    </sheetView>
  </sheetViews>
  <sheetFormatPr defaultRowHeight="14.4" x14ac:dyDescent="0.3"/>
  <cols>
    <col min="1" max="1" width="13" bestFit="1" customWidth="1"/>
    <col min="2" max="2" width="19.44140625" bestFit="1" customWidth="1"/>
    <col min="3" max="3" width="11.21875" bestFit="1" customWidth="1"/>
    <col min="4" max="4" width="10.109375" bestFit="1" customWidth="1"/>
    <col min="5" max="5" width="14.109375" bestFit="1" customWidth="1"/>
    <col min="6" max="6" width="6.6640625" bestFit="1" customWidth="1"/>
    <col min="7" max="7" width="10.88671875" bestFit="1" customWidth="1"/>
    <col min="8" max="8" width="11.109375" customWidth="1"/>
    <col min="9" max="9" width="11.109375"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10" spans="1:5" x14ac:dyDescent="0.3">
      <c r="A10" t="s">
        <v>1042</v>
      </c>
      <c r="B10" t="s">
        <v>1043</v>
      </c>
      <c r="C10" t="s">
        <v>1044</v>
      </c>
      <c r="D10" t="s">
        <v>1045</v>
      </c>
      <c r="E10" t="s">
        <v>1046</v>
      </c>
    </row>
    <row r="11" spans="1:5" x14ac:dyDescent="0.3">
      <c r="A11" s="21">
        <v>189</v>
      </c>
      <c r="B11" s="22">
        <v>18415</v>
      </c>
      <c r="C11" s="21">
        <v>16834</v>
      </c>
      <c r="D11" s="23">
        <v>3.9227513227513247</v>
      </c>
      <c r="E11" s="21">
        <v>60</v>
      </c>
    </row>
    <row r="13" spans="1:5" x14ac:dyDescent="0.3">
      <c r="A13" t="s">
        <v>1047</v>
      </c>
    </row>
    <row r="15" spans="1:5" x14ac:dyDescent="0.3">
      <c r="A15" s="24" t="s">
        <v>1048</v>
      </c>
      <c r="B15" t="s">
        <v>1042</v>
      </c>
      <c r="C15" t="s">
        <v>1062</v>
      </c>
    </row>
    <row r="16" spans="1:5" x14ac:dyDescent="0.3">
      <c r="A16" s="25" t="s">
        <v>1050</v>
      </c>
      <c r="B16" s="21">
        <v>16</v>
      </c>
      <c r="C16" s="21">
        <v>16</v>
      </c>
    </row>
    <row r="17" spans="1:3" x14ac:dyDescent="0.3">
      <c r="A17" s="25" t="s">
        <v>1051</v>
      </c>
      <c r="B17" s="21">
        <v>14</v>
      </c>
      <c r="C17" s="21">
        <v>14</v>
      </c>
    </row>
    <row r="18" spans="1:3" x14ac:dyDescent="0.3">
      <c r="A18" s="25" t="s">
        <v>1052</v>
      </c>
      <c r="B18" s="21">
        <v>26</v>
      </c>
      <c r="C18" s="21">
        <v>26</v>
      </c>
    </row>
    <row r="19" spans="1:3" x14ac:dyDescent="0.3">
      <c r="A19" s="25" t="s">
        <v>1053</v>
      </c>
      <c r="B19" s="21">
        <v>29</v>
      </c>
      <c r="C19" s="21">
        <v>29</v>
      </c>
    </row>
    <row r="20" spans="1:3" x14ac:dyDescent="0.3">
      <c r="A20" s="25" t="s">
        <v>1054</v>
      </c>
      <c r="B20" s="21">
        <v>17</v>
      </c>
      <c r="C20" s="21">
        <v>17</v>
      </c>
    </row>
    <row r="21" spans="1:3" x14ac:dyDescent="0.3">
      <c r="A21" s="25" t="s">
        <v>1055</v>
      </c>
      <c r="B21" s="21">
        <v>15</v>
      </c>
      <c r="C21" s="21">
        <v>15</v>
      </c>
    </row>
    <row r="22" spans="1:3" x14ac:dyDescent="0.3">
      <c r="A22" s="25" t="s">
        <v>1056</v>
      </c>
      <c r="B22" s="21">
        <v>15</v>
      </c>
      <c r="C22" s="21">
        <v>15</v>
      </c>
    </row>
    <row r="23" spans="1:3" x14ac:dyDescent="0.3">
      <c r="A23" s="25" t="s">
        <v>1057</v>
      </c>
      <c r="B23" s="21">
        <v>7</v>
      </c>
      <c r="C23" s="21">
        <v>7</v>
      </c>
    </row>
    <row r="24" spans="1:3" x14ac:dyDescent="0.3">
      <c r="A24" s="25" t="s">
        <v>1058</v>
      </c>
      <c r="B24" s="21">
        <v>11</v>
      </c>
      <c r="C24" s="21">
        <v>11</v>
      </c>
    </row>
    <row r="25" spans="1:3" x14ac:dyDescent="0.3">
      <c r="A25" s="25" t="s">
        <v>1059</v>
      </c>
      <c r="B25" s="21">
        <v>24</v>
      </c>
      <c r="C25" s="21">
        <v>24</v>
      </c>
    </row>
    <row r="26" spans="1:3" x14ac:dyDescent="0.3">
      <c r="A26" s="25" t="s">
        <v>1060</v>
      </c>
      <c r="B26" s="21">
        <v>9</v>
      </c>
      <c r="C26" s="21">
        <v>9</v>
      </c>
    </row>
    <row r="27" spans="1:3" x14ac:dyDescent="0.3">
      <c r="A27" s="25" t="s">
        <v>1061</v>
      </c>
      <c r="B27" s="21">
        <v>6</v>
      </c>
      <c r="C27" s="21">
        <v>6</v>
      </c>
    </row>
    <row r="28" spans="1:3" x14ac:dyDescent="0.3">
      <c r="A28" s="25" t="s">
        <v>1049</v>
      </c>
      <c r="B28" s="21">
        <v>189</v>
      </c>
      <c r="C28" s="21">
        <v>189</v>
      </c>
    </row>
    <row r="31" spans="1:3" x14ac:dyDescent="0.3">
      <c r="A31" s="24" t="s">
        <v>1048</v>
      </c>
      <c r="B31" t="s">
        <v>1042</v>
      </c>
    </row>
    <row r="32" spans="1:3" x14ac:dyDescent="0.3">
      <c r="A32" s="25" t="s">
        <v>1066</v>
      </c>
      <c r="B32" s="21">
        <v>36</v>
      </c>
    </row>
    <row r="33" spans="1:9" x14ac:dyDescent="0.3">
      <c r="A33" s="25" t="s">
        <v>1064</v>
      </c>
      <c r="B33" s="21">
        <v>30</v>
      </c>
    </row>
    <row r="34" spans="1:9" x14ac:dyDescent="0.3">
      <c r="A34" s="25" t="s">
        <v>1068</v>
      </c>
      <c r="B34" s="21">
        <v>13</v>
      </c>
    </row>
    <row r="35" spans="1:9" x14ac:dyDescent="0.3">
      <c r="A35" s="25" t="s">
        <v>1069</v>
      </c>
      <c r="B35" s="21">
        <v>23</v>
      </c>
    </row>
    <row r="36" spans="1:9" x14ac:dyDescent="0.3">
      <c r="A36" s="25" t="s">
        <v>1067</v>
      </c>
      <c r="B36" s="21">
        <v>23</v>
      </c>
    </row>
    <row r="37" spans="1:9" x14ac:dyDescent="0.3">
      <c r="A37" s="25" t="s">
        <v>1063</v>
      </c>
      <c r="B37" s="21">
        <v>24</v>
      </c>
    </row>
    <row r="38" spans="1:9" x14ac:dyDescent="0.3">
      <c r="A38" s="25" t="s">
        <v>1065</v>
      </c>
      <c r="B38" s="21">
        <v>40</v>
      </c>
    </row>
    <row r="39" spans="1:9" x14ac:dyDescent="0.3">
      <c r="A39" s="25" t="s">
        <v>1049</v>
      </c>
      <c r="B39" s="21">
        <v>189</v>
      </c>
    </row>
    <row r="44" spans="1:9" x14ac:dyDescent="0.3">
      <c r="A44" s="24" t="s">
        <v>1048</v>
      </c>
      <c r="B44" t="s">
        <v>1042</v>
      </c>
      <c r="C44" t="s">
        <v>1043</v>
      </c>
      <c r="E44" t="s">
        <v>1070</v>
      </c>
      <c r="H44" t="s">
        <v>1077</v>
      </c>
      <c r="I44" t="str">
        <f>A56</f>
        <v>R01</v>
      </c>
    </row>
    <row r="45" spans="1:9" x14ac:dyDescent="0.3">
      <c r="A45" s="25" t="s">
        <v>11</v>
      </c>
      <c r="B45" s="21">
        <v>189</v>
      </c>
      <c r="C45" s="22">
        <v>18415</v>
      </c>
      <c r="E45" t="s">
        <v>1072</v>
      </c>
      <c r="F45" t="s">
        <v>1073</v>
      </c>
      <c r="G45" t="s">
        <v>1074</v>
      </c>
      <c r="H45" t="s">
        <v>1075</v>
      </c>
      <c r="I45" t="s">
        <v>1076</v>
      </c>
    </row>
    <row r="46" spans="1:9" x14ac:dyDescent="0.3">
      <c r="A46" s="25" t="s">
        <v>9</v>
      </c>
      <c r="B46" s="21">
        <v>218</v>
      </c>
      <c r="C46" s="22">
        <v>20581</v>
      </c>
      <c r="E46" t="str" cm="1">
        <f t="array" ref="E46:G50">A45:C49</f>
        <v>R01</v>
      </c>
      <c r="F46">
        <v>189</v>
      </c>
      <c r="G46" s="26">
        <v>18415</v>
      </c>
      <c r="H46">
        <f>IF(E46=$I$44,F46,NA())</f>
        <v>189</v>
      </c>
      <c r="I46">
        <f>IF(E46=$I$44,G46,NA())</f>
        <v>18415</v>
      </c>
    </row>
    <row r="47" spans="1:9" x14ac:dyDescent="0.3">
      <c r="A47" s="25" t="s">
        <v>6</v>
      </c>
      <c r="B47" s="21">
        <v>207</v>
      </c>
      <c r="C47" s="22">
        <v>20872</v>
      </c>
      <c r="E47" t="str">
        <v>R02</v>
      </c>
      <c r="F47">
        <v>218</v>
      </c>
      <c r="G47" s="26">
        <v>20581</v>
      </c>
      <c r="H47" t="e">
        <f t="shared" ref="H47:H50" si="0">IF(E47=$I$44,F47,NA())</f>
        <v>#N/A</v>
      </c>
      <c r="I47" t="e">
        <f t="shared" ref="I47:I50" si="1">IF(E47=$I$44,G47,NA())</f>
        <v>#N/A</v>
      </c>
    </row>
    <row r="48" spans="1:9" x14ac:dyDescent="0.3">
      <c r="A48" s="25" t="s">
        <v>13</v>
      </c>
      <c r="B48" s="21">
        <v>186</v>
      </c>
      <c r="C48" s="22">
        <v>16651</v>
      </c>
      <c r="E48" t="str">
        <v>R03</v>
      </c>
      <c r="F48">
        <v>207</v>
      </c>
      <c r="G48" s="26">
        <v>20872</v>
      </c>
      <c r="H48" t="e">
        <f t="shared" si="0"/>
        <v>#N/A</v>
      </c>
      <c r="I48" t="e">
        <f t="shared" si="1"/>
        <v>#N/A</v>
      </c>
    </row>
    <row r="49" spans="1:9" x14ac:dyDescent="0.3">
      <c r="A49" s="25" t="s">
        <v>10</v>
      </c>
      <c r="B49" s="21">
        <v>200</v>
      </c>
      <c r="C49" s="22">
        <v>20104</v>
      </c>
      <c r="E49" t="str">
        <v>R04</v>
      </c>
      <c r="F49">
        <v>186</v>
      </c>
      <c r="G49" s="26">
        <v>16651</v>
      </c>
      <c r="H49" t="e">
        <f t="shared" si="0"/>
        <v>#N/A</v>
      </c>
      <c r="I49" t="e">
        <f t="shared" si="1"/>
        <v>#N/A</v>
      </c>
    </row>
    <row r="50" spans="1:9" x14ac:dyDescent="0.3">
      <c r="A50" s="25" t="s">
        <v>1049</v>
      </c>
      <c r="B50" s="21">
        <v>1000</v>
      </c>
      <c r="C50" s="22">
        <v>96623</v>
      </c>
      <c r="E50" t="str">
        <v>R05</v>
      </c>
      <c r="F50">
        <v>200</v>
      </c>
      <c r="G50" s="26">
        <v>20104</v>
      </c>
      <c r="H50" t="e">
        <f t="shared" si="0"/>
        <v>#N/A</v>
      </c>
      <c r="I50" t="e">
        <f t="shared" si="1"/>
        <v>#N/A</v>
      </c>
    </row>
    <row r="54" spans="1:9" x14ac:dyDescent="0.3">
      <c r="H54" t="s">
        <v>1100</v>
      </c>
    </row>
    <row r="55" spans="1:9" x14ac:dyDescent="0.3">
      <c r="A55" s="24" t="s">
        <v>1048</v>
      </c>
      <c r="H55" t="s">
        <v>1101</v>
      </c>
      <c r="I55" s="46">
        <f>A11/A4</f>
        <v>0.189</v>
      </c>
    </row>
    <row r="56" spans="1:9" x14ac:dyDescent="0.3">
      <c r="A56" s="27" t="s">
        <v>11</v>
      </c>
      <c r="H56" t="s">
        <v>1073</v>
      </c>
      <c r="I56">
        <f>_xlfn.XLOOKUP(A56,E46:E50,F46:F50)</f>
        <v>189</v>
      </c>
    </row>
    <row r="57" spans="1:9" x14ac:dyDescent="0.3">
      <c r="H57" t="s">
        <v>1074</v>
      </c>
      <c r="I57">
        <f>_xlfn.XLOOKUP(A56,E46:E50,G46:G50)</f>
        <v>18415</v>
      </c>
    </row>
    <row r="58" spans="1:9" x14ac:dyDescent="0.3">
      <c r="A58" s="24" t="s">
        <v>1042</v>
      </c>
      <c r="B58" s="24" t="s">
        <v>1078</v>
      </c>
      <c r="H58" t="s">
        <v>1102</v>
      </c>
      <c r="I58">
        <f>_xlfn.RANK.AVG(I56,F46:F50)</f>
        <v>4</v>
      </c>
    </row>
    <row r="59" spans="1:9" x14ac:dyDescent="0.3">
      <c r="A59" s="24" t="s">
        <v>1048</v>
      </c>
      <c r="B59" t="s">
        <v>999</v>
      </c>
      <c r="C59" t="s">
        <v>998</v>
      </c>
      <c r="D59" t="s">
        <v>1049</v>
      </c>
      <c r="H59" t="s">
        <v>1103</v>
      </c>
      <c r="I59">
        <f>_xlfn.RANK.AVG(I57,G46:G50)</f>
        <v>4</v>
      </c>
    </row>
    <row r="60" spans="1:9" x14ac:dyDescent="0.3">
      <c r="A60" s="25" t="s">
        <v>1002</v>
      </c>
      <c r="B60" s="21">
        <v>144</v>
      </c>
      <c r="C60" s="21">
        <v>132</v>
      </c>
      <c r="D60" s="21">
        <v>276</v>
      </c>
    </row>
    <row r="61" spans="1:9" x14ac:dyDescent="0.3">
      <c r="A61" s="25" t="s">
        <v>1001</v>
      </c>
      <c r="B61" s="21">
        <v>326</v>
      </c>
      <c r="C61" s="21">
        <v>63</v>
      </c>
      <c r="D61" s="21">
        <v>389</v>
      </c>
      <c r="H61" t="s">
        <v>1104</v>
      </c>
    </row>
    <row r="62" spans="1:9" x14ac:dyDescent="0.3">
      <c r="A62" s="25" t="s">
        <v>1000</v>
      </c>
      <c r="B62" s="21">
        <v>129</v>
      </c>
      <c r="C62" s="21">
        <v>206</v>
      </c>
      <c r="D62" s="21">
        <v>335</v>
      </c>
      <c r="I62" t="str">
        <f>"% of calls: "&amp;TEXT(I55,"0%")</f>
        <v>% of calls: 19%</v>
      </c>
    </row>
    <row r="63" spans="1:9" x14ac:dyDescent="0.3">
      <c r="A63" s="25" t="s">
        <v>1049</v>
      </c>
      <c r="B63" s="21">
        <v>599</v>
      </c>
      <c r="C63" s="21">
        <v>401</v>
      </c>
      <c r="D63" s="21">
        <v>1000</v>
      </c>
      <c r="I63" t="str">
        <f>"Call Rank: "&amp;I58</f>
        <v>Call Rank: 4</v>
      </c>
    </row>
    <row r="64" spans="1:9" x14ac:dyDescent="0.3">
      <c r="I64" t="str">
        <f>"Amount Rank: "&amp;I59</f>
        <v>Amount Rank: 4</v>
      </c>
    </row>
    <row r="66" spans="1:9" ht="30" customHeight="1" x14ac:dyDescent="0.3">
      <c r="H66" t="s">
        <v>1105</v>
      </c>
      <c r="I66" t="str">
        <f>_xlfn.XLOOKUP(A56,Assets!$E$3:$E$7,Pivots!G68:G72)</f>
        <v>R01</v>
      </c>
    </row>
    <row r="67" spans="1:9" x14ac:dyDescent="0.3">
      <c r="A67" s="24" t="s">
        <v>1048</v>
      </c>
      <c r="B67" t="s">
        <v>1079</v>
      </c>
    </row>
    <row r="68" spans="1:9" x14ac:dyDescent="0.3">
      <c r="A68" s="25">
        <v>1</v>
      </c>
      <c r="B68">
        <v>1</v>
      </c>
      <c r="G68" t="s">
        <v>11</v>
      </c>
    </row>
    <row r="69" spans="1:9" x14ac:dyDescent="0.3">
      <c r="A69" s="25">
        <v>2</v>
      </c>
      <c r="B69">
        <v>9</v>
      </c>
      <c r="G69" t="s">
        <v>9</v>
      </c>
    </row>
    <row r="70" spans="1:9" x14ac:dyDescent="0.3">
      <c r="A70" s="25">
        <v>3</v>
      </c>
      <c r="B70">
        <v>31</v>
      </c>
      <c r="G70" t="s">
        <v>6</v>
      </c>
    </row>
    <row r="71" spans="1:9" x14ac:dyDescent="0.3">
      <c r="A71" s="25">
        <v>4</v>
      </c>
      <c r="B71">
        <v>88</v>
      </c>
      <c r="G71" t="s">
        <v>13</v>
      </c>
    </row>
    <row r="72" spans="1:9" x14ac:dyDescent="0.3">
      <c r="A72" s="25">
        <v>5</v>
      </c>
      <c r="B72">
        <v>60</v>
      </c>
      <c r="G72" t="s">
        <v>10</v>
      </c>
    </row>
    <row r="73" spans="1:9" x14ac:dyDescent="0.3">
      <c r="A73" s="25" t="s">
        <v>1049</v>
      </c>
      <c r="B73">
        <v>189</v>
      </c>
    </row>
    <row r="76" spans="1:9" x14ac:dyDescent="0.3">
      <c r="A76" s="28"/>
      <c r="B76" s="28"/>
    </row>
    <row r="77" spans="1:9" x14ac:dyDescent="0.3">
      <c r="A77" s="25"/>
    </row>
    <row r="78" spans="1:9" x14ac:dyDescent="0.3">
      <c r="A78" s="25"/>
    </row>
    <row r="79" spans="1:9" x14ac:dyDescent="0.3">
      <c r="A79" s="24" t="s">
        <v>1043</v>
      </c>
      <c r="B79" s="24" t="s">
        <v>1078</v>
      </c>
    </row>
    <row r="80" spans="1:9" x14ac:dyDescent="0.3">
      <c r="A80" s="24" t="s">
        <v>1048</v>
      </c>
      <c r="B80" t="s">
        <v>11</v>
      </c>
      <c r="C80" t="s">
        <v>9</v>
      </c>
      <c r="D80" t="s">
        <v>6</v>
      </c>
      <c r="E80" t="s">
        <v>13</v>
      </c>
      <c r="F80" t="s">
        <v>10</v>
      </c>
      <c r="G80" t="s">
        <v>1049</v>
      </c>
    </row>
    <row r="81" spans="1:8" x14ac:dyDescent="0.3">
      <c r="A81" s="25" t="s">
        <v>1002</v>
      </c>
    </row>
    <row r="82" spans="1:8" x14ac:dyDescent="0.3">
      <c r="A82" s="29" t="s">
        <v>20</v>
      </c>
      <c r="B82" s="22">
        <v>891</v>
      </c>
      <c r="C82" s="22">
        <v>1332</v>
      </c>
      <c r="D82" s="22">
        <v>1282</v>
      </c>
      <c r="E82" s="22">
        <v>739</v>
      </c>
      <c r="F82" s="22">
        <v>560</v>
      </c>
      <c r="G82" s="22">
        <v>4804</v>
      </c>
    </row>
    <row r="83" spans="1:8" x14ac:dyDescent="0.3">
      <c r="A83" s="29" t="s">
        <v>12</v>
      </c>
      <c r="B83" s="22">
        <v>1991</v>
      </c>
      <c r="C83" s="22">
        <v>1886</v>
      </c>
      <c r="D83" s="22">
        <v>1206</v>
      </c>
      <c r="E83" s="22">
        <v>884</v>
      </c>
      <c r="F83" s="22">
        <v>1722</v>
      </c>
      <c r="G83" s="22">
        <v>7689</v>
      </c>
    </row>
    <row r="84" spans="1:8" x14ac:dyDescent="0.3">
      <c r="A84" s="29" t="s">
        <v>8</v>
      </c>
      <c r="B84" s="22">
        <v>1163</v>
      </c>
      <c r="C84" s="22">
        <v>1180</v>
      </c>
      <c r="D84" s="22">
        <v>1616</v>
      </c>
      <c r="E84" s="22">
        <v>1043</v>
      </c>
      <c r="F84" s="22">
        <v>1747</v>
      </c>
      <c r="G84" s="22">
        <v>6749</v>
      </c>
    </row>
    <row r="85" spans="1:8" x14ac:dyDescent="0.3">
      <c r="A85" s="29" t="s">
        <v>16</v>
      </c>
      <c r="B85" s="22">
        <v>1438</v>
      </c>
      <c r="C85" s="22">
        <v>1616</v>
      </c>
      <c r="D85" s="22">
        <v>866</v>
      </c>
      <c r="E85" s="22">
        <v>829</v>
      </c>
      <c r="F85" s="22">
        <v>2070</v>
      </c>
      <c r="G85" s="22">
        <v>6819</v>
      </c>
    </row>
    <row r="86" spans="1:8" x14ac:dyDescent="0.3">
      <c r="A86" s="25" t="s">
        <v>1001</v>
      </c>
    </row>
    <row r="87" spans="1:8" x14ac:dyDescent="0.3">
      <c r="A87" s="29" t="s">
        <v>24</v>
      </c>
      <c r="B87" s="22">
        <v>1233</v>
      </c>
      <c r="C87" s="22">
        <v>223</v>
      </c>
      <c r="D87" s="22">
        <v>1680</v>
      </c>
      <c r="E87" s="22">
        <v>990</v>
      </c>
      <c r="F87" s="22">
        <v>1508</v>
      </c>
      <c r="G87" s="22">
        <v>5634</v>
      </c>
    </row>
    <row r="88" spans="1:8" x14ac:dyDescent="0.3">
      <c r="A88" s="29" t="s">
        <v>15</v>
      </c>
      <c r="B88" s="22">
        <v>1598</v>
      </c>
      <c r="C88" s="22">
        <v>1907</v>
      </c>
      <c r="D88" s="22">
        <v>869</v>
      </c>
      <c r="E88" s="22">
        <v>1426</v>
      </c>
      <c r="F88" s="22">
        <v>1416</v>
      </c>
      <c r="G88" s="22">
        <v>7216</v>
      </c>
      <c r="H88" t="s">
        <v>1080</v>
      </c>
    </row>
    <row r="89" spans="1:8" x14ac:dyDescent="0.3">
      <c r="A89" s="29" t="s">
        <v>5</v>
      </c>
      <c r="B89" s="22">
        <v>900</v>
      </c>
      <c r="C89" s="22">
        <v>1016</v>
      </c>
      <c r="D89" s="22">
        <v>960</v>
      </c>
      <c r="E89" s="22">
        <v>940</v>
      </c>
      <c r="F89" s="22">
        <v>1193</v>
      </c>
      <c r="G89" s="22">
        <v>5009</v>
      </c>
    </row>
    <row r="90" spans="1:8" x14ac:dyDescent="0.3">
      <c r="A90" s="29" t="s">
        <v>18</v>
      </c>
      <c r="B90" s="22">
        <v>900</v>
      </c>
      <c r="C90" s="22">
        <v>1470</v>
      </c>
      <c r="D90" s="22">
        <v>1617</v>
      </c>
      <c r="E90" s="22">
        <v>1314</v>
      </c>
      <c r="F90" s="22">
        <v>941</v>
      </c>
      <c r="G90" s="22">
        <v>6242</v>
      </c>
    </row>
    <row r="91" spans="1:8" x14ac:dyDescent="0.3">
      <c r="A91" s="29" t="s">
        <v>14</v>
      </c>
      <c r="B91" s="22">
        <v>1255</v>
      </c>
      <c r="C91" s="22">
        <v>516</v>
      </c>
      <c r="D91" s="22">
        <v>1874</v>
      </c>
      <c r="E91" s="22">
        <v>1863</v>
      </c>
      <c r="F91" s="22">
        <v>1722</v>
      </c>
      <c r="G91" s="22">
        <v>7230</v>
      </c>
    </row>
    <row r="92" spans="1:8" x14ac:dyDescent="0.3">
      <c r="A92" s="29" t="s">
        <v>19</v>
      </c>
      <c r="B92" s="22">
        <v>1138</v>
      </c>
      <c r="C92" s="22">
        <v>1898</v>
      </c>
      <c r="D92" s="22">
        <v>1482</v>
      </c>
      <c r="E92" s="22">
        <v>846</v>
      </c>
      <c r="F92" s="22">
        <v>1154</v>
      </c>
      <c r="G92" s="22">
        <v>6518</v>
      </c>
    </row>
    <row r="93" spans="1:8" x14ac:dyDescent="0.3">
      <c r="A93" s="25" t="s">
        <v>1000</v>
      </c>
    </row>
    <row r="94" spans="1:8" x14ac:dyDescent="0.3">
      <c r="A94" s="29" t="s">
        <v>17</v>
      </c>
      <c r="B94" s="22">
        <v>1655</v>
      </c>
      <c r="C94" s="22">
        <v>805</v>
      </c>
      <c r="D94" s="22">
        <v>2263</v>
      </c>
      <c r="E94" s="22">
        <v>987</v>
      </c>
      <c r="F94" s="22">
        <v>1075</v>
      </c>
      <c r="G94" s="22">
        <v>6785</v>
      </c>
    </row>
    <row r="95" spans="1:8" x14ac:dyDescent="0.3">
      <c r="A95" s="29" t="s">
        <v>23</v>
      </c>
      <c r="B95" s="22">
        <v>1104</v>
      </c>
      <c r="C95" s="22">
        <v>2280</v>
      </c>
      <c r="D95" s="22">
        <v>1445</v>
      </c>
      <c r="E95" s="22">
        <v>1722</v>
      </c>
      <c r="F95" s="22">
        <v>1196</v>
      </c>
      <c r="G95" s="22">
        <v>7747</v>
      </c>
    </row>
    <row r="96" spans="1:8" x14ac:dyDescent="0.3">
      <c r="A96" s="29" t="s">
        <v>7</v>
      </c>
      <c r="B96" s="22">
        <v>372</v>
      </c>
      <c r="C96" s="22">
        <v>1818</v>
      </c>
      <c r="D96" s="22">
        <v>1346</v>
      </c>
      <c r="E96" s="22">
        <v>1156</v>
      </c>
      <c r="F96" s="22">
        <v>1484</v>
      </c>
      <c r="G96" s="22">
        <v>6176</v>
      </c>
    </row>
    <row r="97" spans="1:7" x14ac:dyDescent="0.3">
      <c r="A97" s="29" t="s">
        <v>22</v>
      </c>
      <c r="B97" s="22">
        <v>1415</v>
      </c>
      <c r="C97" s="22">
        <v>1271</v>
      </c>
      <c r="D97" s="22">
        <v>1214</v>
      </c>
      <c r="E97" s="22">
        <v>1135</v>
      </c>
      <c r="F97" s="22">
        <v>1566</v>
      </c>
      <c r="G97" s="22">
        <v>6601</v>
      </c>
    </row>
    <row r="98" spans="1:7" x14ac:dyDescent="0.3">
      <c r="A98" s="29" t="s">
        <v>21</v>
      </c>
      <c r="B98" s="22">
        <v>1362</v>
      </c>
      <c r="C98" s="22">
        <v>1363</v>
      </c>
      <c r="D98" s="22">
        <v>1152</v>
      </c>
      <c r="E98" s="22">
        <v>777</v>
      </c>
      <c r="F98" s="22">
        <v>750</v>
      </c>
      <c r="G98" s="22">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H14" sqref="H14"/>
    </sheetView>
  </sheetViews>
  <sheetFormatPr defaultRowHeight="14.4" x14ac:dyDescent="0.3"/>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F2D57-6A6B-4B4C-88B6-CD6A1F8BA299}">
  <dimension ref="A1:AB81"/>
  <sheetViews>
    <sheetView tabSelected="1" zoomScale="85" zoomScaleNormal="85" workbookViewId="0">
      <selection activeCell="G2" sqref="G2"/>
    </sheetView>
  </sheetViews>
  <sheetFormatPr defaultRowHeight="14.4" x14ac:dyDescent="0.3"/>
  <cols>
    <col min="1" max="2" width="4" customWidth="1"/>
    <col min="11" max="11" width="8.88671875" customWidth="1"/>
    <col min="16" max="16" width="12.5546875" customWidth="1"/>
    <col min="17" max="17" width="13.109375" customWidth="1"/>
  </cols>
  <sheetData>
    <row r="1" spans="1:28" x14ac:dyDescent="0.3">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row>
    <row r="2" spans="1:28" ht="22.2" customHeight="1" x14ac:dyDescent="0.3">
      <c r="A2" s="20"/>
      <c r="B2" s="48" t="s">
        <v>1110</v>
      </c>
      <c r="C2" s="49"/>
      <c r="D2" s="49"/>
      <c r="E2" s="50"/>
      <c r="F2" s="20"/>
      <c r="G2" s="20"/>
      <c r="H2" s="20"/>
      <c r="I2" s="20"/>
      <c r="J2" s="20"/>
      <c r="K2" s="20"/>
      <c r="L2" s="20"/>
      <c r="M2" s="20"/>
      <c r="N2" s="20"/>
      <c r="O2" s="20"/>
      <c r="P2" s="20"/>
      <c r="Q2" s="20"/>
      <c r="R2" s="20"/>
      <c r="S2" s="20"/>
      <c r="T2" s="20"/>
      <c r="U2" s="20"/>
      <c r="V2" s="20"/>
      <c r="W2" s="20"/>
      <c r="X2" s="20"/>
      <c r="Y2" s="20"/>
      <c r="Z2" s="20"/>
      <c r="AA2" s="20"/>
      <c r="AB2" s="20"/>
    </row>
    <row r="3" spans="1:28" x14ac:dyDescent="0.3">
      <c r="A3" s="20"/>
      <c r="B3" s="47"/>
      <c r="C3" s="47"/>
      <c r="D3" s="47"/>
      <c r="E3" s="47"/>
      <c r="F3" s="20"/>
      <c r="G3" s="20"/>
      <c r="H3" s="20"/>
      <c r="I3" s="20"/>
      <c r="J3" s="20"/>
      <c r="K3" s="20"/>
      <c r="L3" s="20"/>
      <c r="M3" s="20"/>
      <c r="N3" s="20"/>
      <c r="O3" s="20"/>
      <c r="P3" s="20"/>
      <c r="Q3" s="20"/>
      <c r="R3" s="20"/>
      <c r="S3" s="20"/>
      <c r="T3" s="20"/>
      <c r="U3" s="20"/>
      <c r="V3" s="20"/>
      <c r="W3" s="20"/>
      <c r="X3" s="20"/>
      <c r="Y3" s="20"/>
      <c r="Z3" s="20"/>
      <c r="AA3" s="20"/>
      <c r="AB3" s="20"/>
    </row>
    <row r="4" spans="1:28" x14ac:dyDescent="0.3">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row>
    <row r="7" spans="1:28"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row>
    <row r="8" spans="1:28"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row>
    <row r="9" spans="1:28"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row>
    <row r="10" spans="1:28"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row>
    <row r="11" spans="1:28"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row>
    <row r="12" spans="1:28"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row>
    <row r="13" spans="1:28"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row>
    <row r="14" spans="1:28" x14ac:dyDescent="0.3">
      <c r="A14" s="20"/>
      <c r="B14" s="20"/>
      <c r="C14" s="20"/>
      <c r="D14" s="20"/>
      <c r="E14" s="20"/>
      <c r="F14" s="20"/>
      <c r="G14" s="20"/>
      <c r="H14" s="20"/>
      <c r="I14" s="20"/>
      <c r="J14" s="20"/>
      <c r="K14" s="20"/>
      <c r="L14" s="20"/>
      <c r="M14" s="20"/>
      <c r="N14" s="20"/>
      <c r="O14" s="20"/>
      <c r="P14" s="20"/>
      <c r="Q14" s="20"/>
      <c r="R14" s="20"/>
      <c r="S14" s="20" t="s">
        <v>1071</v>
      </c>
      <c r="T14" s="20"/>
      <c r="U14" s="20"/>
      <c r="V14" s="20"/>
      <c r="W14" s="20"/>
      <c r="X14" s="20"/>
      <c r="Y14" s="20"/>
      <c r="Z14" s="20"/>
      <c r="AA14" s="20"/>
      <c r="AB14" s="20"/>
    </row>
    <row r="15" spans="1:28"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row>
    <row r="16" spans="1:28" x14ac:dyDescent="0.3">
      <c r="A16" s="20"/>
      <c r="B16" s="20"/>
      <c r="C16" s="20"/>
      <c r="D16" s="20"/>
      <c r="E16" s="20"/>
      <c r="F16" s="20"/>
      <c r="G16" s="20"/>
      <c r="H16" s="20"/>
      <c r="I16" s="20"/>
      <c r="J16" s="20"/>
      <c r="K16" s="20"/>
      <c r="L16" s="20"/>
      <c r="M16" s="20"/>
      <c r="N16" s="20"/>
      <c r="O16" s="20"/>
      <c r="P16" s="33"/>
      <c r="Q16" s="34"/>
      <c r="R16" s="34"/>
      <c r="S16" s="34"/>
      <c r="T16" s="34"/>
      <c r="U16" s="34"/>
      <c r="V16" s="35"/>
      <c r="W16" s="20"/>
      <c r="X16" s="20"/>
      <c r="Y16" s="20"/>
      <c r="Z16" s="20"/>
      <c r="AA16" s="20"/>
      <c r="AB16" s="20"/>
    </row>
    <row r="17" spans="1:28" x14ac:dyDescent="0.3">
      <c r="A17" s="20"/>
      <c r="B17" s="20"/>
      <c r="C17" s="20"/>
      <c r="D17" s="20"/>
      <c r="E17" s="20"/>
      <c r="F17" s="20"/>
      <c r="G17" s="20"/>
      <c r="H17" s="20"/>
      <c r="I17" s="20"/>
      <c r="J17" s="20"/>
      <c r="K17" s="20"/>
      <c r="L17" s="20"/>
      <c r="M17" s="20"/>
      <c r="N17" s="20"/>
      <c r="O17" s="20"/>
      <c r="P17" s="42"/>
      <c r="Q17" s="43" t="str" cm="1">
        <f t="array" ref="Q17:U17">Pivots!B80:F80</f>
        <v>R01</v>
      </c>
      <c r="R17" s="43" t="str">
        <v>R02</v>
      </c>
      <c r="S17" s="43" t="str">
        <v>R03</v>
      </c>
      <c r="T17" s="43" t="str">
        <v>R04</v>
      </c>
      <c r="U17" s="43" t="str">
        <v>R05</v>
      </c>
      <c r="V17" s="44" t="s">
        <v>1099</v>
      </c>
      <c r="W17" s="20"/>
      <c r="X17" s="20"/>
      <c r="Y17" s="20"/>
      <c r="Z17" s="20"/>
      <c r="AA17" s="20"/>
      <c r="AB17" s="20"/>
    </row>
    <row r="18" spans="1:28" x14ac:dyDescent="0.3">
      <c r="A18" s="20"/>
      <c r="B18" s="20"/>
      <c r="C18" s="20"/>
      <c r="D18" s="20"/>
      <c r="E18" s="20"/>
      <c r="F18" s="20"/>
      <c r="G18" s="20"/>
      <c r="H18" s="20"/>
      <c r="I18" s="20"/>
      <c r="J18" s="20"/>
      <c r="K18" s="20"/>
      <c r="L18" s="20"/>
      <c r="M18" s="20"/>
      <c r="N18" s="20"/>
      <c r="O18" s="20"/>
      <c r="P18" s="45" t="str" cm="1">
        <f t="array" ref="P18:V35">IF(Pivots!A81:G98="","",Pivots!A81:G98)</f>
        <v>Cincinnati</v>
      </c>
      <c r="Q18" s="31" t="str">
        <v/>
      </c>
      <c r="R18" s="31" t="str">
        <v/>
      </c>
      <c r="S18" s="31" t="str">
        <v/>
      </c>
      <c r="T18" s="31" t="str">
        <v/>
      </c>
      <c r="U18" s="31" t="str">
        <v/>
      </c>
      <c r="V18" s="36" t="str">
        <v/>
      </c>
      <c r="W18" s="20"/>
      <c r="X18" s="20"/>
      <c r="Y18" s="20"/>
      <c r="Z18" s="20"/>
      <c r="AA18" s="20"/>
      <c r="AB18" s="20"/>
    </row>
    <row r="19" spans="1:28" x14ac:dyDescent="0.3">
      <c r="A19" s="20"/>
      <c r="B19" s="20"/>
      <c r="C19" s="20"/>
      <c r="D19" s="20"/>
      <c r="E19" s="20"/>
      <c r="F19" s="20"/>
      <c r="G19" s="20"/>
      <c r="H19" s="20"/>
      <c r="I19" s="20"/>
      <c r="J19" s="20"/>
      <c r="K19" s="20"/>
      <c r="L19" s="20"/>
      <c r="M19" s="20"/>
      <c r="N19" s="20"/>
      <c r="O19" s="20"/>
      <c r="P19" s="37" t="str">
        <v>C0003</v>
      </c>
      <c r="Q19" s="32">
        <v>891</v>
      </c>
      <c r="R19" s="32">
        <v>1332</v>
      </c>
      <c r="S19" s="32">
        <v>1282</v>
      </c>
      <c r="T19" s="32">
        <v>739</v>
      </c>
      <c r="U19" s="32">
        <v>560</v>
      </c>
      <c r="V19" s="38">
        <v>4804</v>
      </c>
      <c r="W19" s="20"/>
      <c r="X19" s="20"/>
      <c r="Y19" s="20"/>
      <c r="Z19" s="20"/>
      <c r="AA19" s="20"/>
      <c r="AB19" s="20"/>
    </row>
    <row r="20" spans="1:28" x14ac:dyDescent="0.3">
      <c r="A20" s="20"/>
      <c r="B20" s="20"/>
      <c r="C20" s="20"/>
      <c r="D20" s="20"/>
      <c r="E20" s="20"/>
      <c r="F20" s="20"/>
      <c r="G20" s="20"/>
      <c r="H20" s="20"/>
      <c r="I20" s="20"/>
      <c r="J20" s="20"/>
      <c r="K20" s="20"/>
      <c r="L20" s="20"/>
      <c r="M20" s="20"/>
      <c r="N20" s="20"/>
      <c r="O20" s="20"/>
      <c r="P20" s="37" t="str">
        <v>C0004</v>
      </c>
      <c r="Q20" s="32">
        <v>1991</v>
      </c>
      <c r="R20" s="32">
        <v>1886</v>
      </c>
      <c r="S20" s="32">
        <v>1206</v>
      </c>
      <c r="T20" s="32">
        <v>884</v>
      </c>
      <c r="U20" s="32">
        <v>1722</v>
      </c>
      <c r="V20" s="38">
        <v>7689</v>
      </c>
      <c r="W20" s="20"/>
      <c r="X20" s="20"/>
      <c r="Y20" s="20"/>
      <c r="Z20" s="20"/>
      <c r="AA20" s="20"/>
      <c r="AB20" s="20"/>
    </row>
    <row r="21" spans="1:28" x14ac:dyDescent="0.3">
      <c r="A21" s="20"/>
      <c r="B21" s="20"/>
      <c r="C21" s="20"/>
      <c r="D21" s="20"/>
      <c r="E21" s="20"/>
      <c r="F21" s="20"/>
      <c r="G21" s="20"/>
      <c r="H21" s="20"/>
      <c r="I21" s="20"/>
      <c r="J21" s="20"/>
      <c r="K21" s="20"/>
      <c r="L21" s="20"/>
      <c r="M21" s="20"/>
      <c r="N21" s="20"/>
      <c r="O21" s="20"/>
      <c r="P21" s="37" t="str">
        <v>C0011</v>
      </c>
      <c r="Q21" s="32">
        <v>1163</v>
      </c>
      <c r="R21" s="32">
        <v>1180</v>
      </c>
      <c r="S21" s="32">
        <v>1616</v>
      </c>
      <c r="T21" s="32">
        <v>1043</v>
      </c>
      <c r="U21" s="32">
        <v>1747</v>
      </c>
      <c r="V21" s="38">
        <v>6749</v>
      </c>
      <c r="W21" s="20"/>
      <c r="X21" s="20"/>
      <c r="Y21" s="20"/>
      <c r="Z21" s="20"/>
      <c r="AA21" s="20"/>
      <c r="AB21" s="20"/>
    </row>
    <row r="22" spans="1:28" x14ac:dyDescent="0.3">
      <c r="A22" s="20"/>
      <c r="B22" s="20"/>
      <c r="C22" s="20"/>
      <c r="D22" s="20"/>
      <c r="E22" s="20"/>
      <c r="F22" s="20"/>
      <c r="G22" s="20"/>
      <c r="H22" s="20"/>
      <c r="I22" s="20"/>
      <c r="J22" s="20"/>
      <c r="K22" s="20"/>
      <c r="L22" s="20"/>
      <c r="M22" s="20"/>
      <c r="N22" s="20"/>
      <c r="O22" s="20"/>
      <c r="P22" s="37" t="str">
        <v>C0012</v>
      </c>
      <c r="Q22" s="32">
        <v>1438</v>
      </c>
      <c r="R22" s="32">
        <v>1616</v>
      </c>
      <c r="S22" s="32">
        <v>866</v>
      </c>
      <c r="T22" s="32">
        <v>829</v>
      </c>
      <c r="U22" s="32">
        <v>2070</v>
      </c>
      <c r="V22" s="38">
        <v>6819</v>
      </c>
      <c r="W22" s="20"/>
      <c r="X22" s="20"/>
      <c r="Y22" s="20"/>
      <c r="Z22" s="20"/>
      <c r="AA22" s="20"/>
      <c r="AB22" s="20"/>
    </row>
    <row r="23" spans="1:28" x14ac:dyDescent="0.3">
      <c r="A23" s="20"/>
      <c r="B23" s="20"/>
      <c r="C23" s="20"/>
      <c r="D23" s="20"/>
      <c r="E23" s="20"/>
      <c r="F23" s="20"/>
      <c r="G23" s="20"/>
      <c r="H23" s="20"/>
      <c r="I23" s="20"/>
      <c r="J23" s="20"/>
      <c r="K23" s="20"/>
      <c r="L23" s="20"/>
      <c r="M23" s="20"/>
      <c r="N23" s="20"/>
      <c r="O23" s="20"/>
      <c r="P23" s="45" t="str">
        <v>Cleveland</v>
      </c>
      <c r="Q23" s="32" t="str">
        <v/>
      </c>
      <c r="R23" s="32" t="str">
        <v/>
      </c>
      <c r="S23" s="32" t="str">
        <v/>
      </c>
      <c r="T23" s="32" t="str">
        <v/>
      </c>
      <c r="U23" s="32" t="str">
        <v/>
      </c>
      <c r="V23" s="38" t="str">
        <v/>
      </c>
      <c r="W23" s="20"/>
      <c r="X23" s="20"/>
      <c r="Y23" s="20"/>
      <c r="Z23" s="20"/>
      <c r="AA23" s="20"/>
      <c r="AB23" s="20"/>
    </row>
    <row r="24" spans="1:28" x14ac:dyDescent="0.3">
      <c r="A24" s="20"/>
      <c r="B24" s="20"/>
      <c r="C24" s="20"/>
      <c r="D24" s="20"/>
      <c r="E24" s="20"/>
      <c r="F24" s="20"/>
      <c r="G24" s="20"/>
      <c r="H24" s="20"/>
      <c r="I24" s="20"/>
      <c r="J24" s="20"/>
      <c r="K24" s="20"/>
      <c r="L24" s="20"/>
      <c r="M24" s="20"/>
      <c r="N24" s="20"/>
      <c r="O24" s="20"/>
      <c r="P24" s="37" t="str">
        <v>C0002</v>
      </c>
      <c r="Q24" s="32">
        <v>1233</v>
      </c>
      <c r="R24" s="32">
        <v>223</v>
      </c>
      <c r="S24" s="32">
        <v>1680</v>
      </c>
      <c r="T24" s="32">
        <v>990</v>
      </c>
      <c r="U24" s="32">
        <v>1508</v>
      </c>
      <c r="V24" s="38">
        <v>5634</v>
      </c>
      <c r="W24" s="20"/>
      <c r="X24" s="20"/>
      <c r="Y24" s="20"/>
      <c r="Z24" s="20"/>
      <c r="AA24" s="20"/>
      <c r="AB24" s="20"/>
    </row>
    <row r="25" spans="1:28" x14ac:dyDescent="0.3">
      <c r="A25" s="20"/>
      <c r="B25" s="20"/>
      <c r="C25" s="20"/>
      <c r="D25" s="20"/>
      <c r="E25" s="20"/>
      <c r="F25" s="20"/>
      <c r="G25" s="20"/>
      <c r="H25" s="20"/>
      <c r="I25" s="20"/>
      <c r="J25" s="20"/>
      <c r="K25" s="20"/>
      <c r="L25" s="20"/>
      <c r="M25" s="20"/>
      <c r="N25" s="20"/>
      <c r="O25" s="20"/>
      <c r="P25" s="37" t="str">
        <v>C0007</v>
      </c>
      <c r="Q25" s="32">
        <v>1598</v>
      </c>
      <c r="R25" s="32">
        <v>1907</v>
      </c>
      <c r="S25" s="32">
        <v>869</v>
      </c>
      <c r="T25" s="32">
        <v>1426</v>
      </c>
      <c r="U25" s="32">
        <v>1416</v>
      </c>
      <c r="V25" s="38">
        <v>7216</v>
      </c>
      <c r="W25" s="20"/>
      <c r="X25" s="20"/>
      <c r="Y25" s="20"/>
      <c r="Z25" s="20"/>
      <c r="AA25" s="20"/>
      <c r="AB25" s="20"/>
    </row>
    <row r="26" spans="1:28" x14ac:dyDescent="0.3">
      <c r="A26" s="20"/>
      <c r="B26" s="20"/>
      <c r="C26" s="20"/>
      <c r="D26" s="20"/>
      <c r="E26" s="20"/>
      <c r="F26" s="20"/>
      <c r="G26" s="20"/>
      <c r="H26" s="20"/>
      <c r="I26" s="20"/>
      <c r="J26" s="20"/>
      <c r="K26" s="20"/>
      <c r="L26" s="20"/>
      <c r="M26" s="20"/>
      <c r="N26" s="20"/>
      <c r="O26" s="20"/>
      <c r="P26" s="37" t="str">
        <v>C0008</v>
      </c>
      <c r="Q26" s="32">
        <v>900</v>
      </c>
      <c r="R26" s="32">
        <v>1016</v>
      </c>
      <c r="S26" s="32">
        <v>960</v>
      </c>
      <c r="T26" s="32">
        <v>940</v>
      </c>
      <c r="U26" s="32">
        <v>1193</v>
      </c>
      <c r="V26" s="38">
        <v>5009</v>
      </c>
      <c r="W26" s="20"/>
      <c r="X26" s="20"/>
      <c r="Y26" s="20"/>
      <c r="Z26" s="20"/>
      <c r="AA26" s="20"/>
      <c r="AB26" s="20"/>
    </row>
    <row r="27" spans="1:28" x14ac:dyDescent="0.3">
      <c r="A27" s="20"/>
      <c r="B27" s="20"/>
      <c r="C27" s="20"/>
      <c r="D27" s="20"/>
      <c r="E27" s="20"/>
      <c r="F27" s="20"/>
      <c r="G27" s="20"/>
      <c r="H27" s="20"/>
      <c r="I27" s="20"/>
      <c r="J27" s="20"/>
      <c r="K27" s="20"/>
      <c r="L27" s="20"/>
      <c r="M27" s="20"/>
      <c r="N27" s="20"/>
      <c r="O27" s="20"/>
      <c r="P27" s="37" t="str">
        <v>C0010</v>
      </c>
      <c r="Q27" s="32">
        <v>900</v>
      </c>
      <c r="R27" s="32">
        <v>1470</v>
      </c>
      <c r="S27" s="32">
        <v>1617</v>
      </c>
      <c r="T27" s="32">
        <v>1314</v>
      </c>
      <c r="U27" s="32">
        <v>941</v>
      </c>
      <c r="V27" s="38">
        <v>6242</v>
      </c>
      <c r="W27" s="20"/>
      <c r="X27" s="20"/>
      <c r="Y27" s="20"/>
      <c r="Z27" s="20"/>
      <c r="AA27" s="20"/>
      <c r="AB27" s="20"/>
    </row>
    <row r="28" spans="1:28" x14ac:dyDescent="0.3">
      <c r="A28" s="20"/>
      <c r="B28" s="20"/>
      <c r="C28" s="20"/>
      <c r="D28" s="20"/>
      <c r="E28" s="20"/>
      <c r="F28" s="20"/>
      <c r="G28" s="20"/>
      <c r="H28" s="20"/>
      <c r="I28" s="20"/>
      <c r="J28" s="20"/>
      <c r="K28" s="20"/>
      <c r="L28" s="20"/>
      <c r="M28" s="20"/>
      <c r="N28" s="20"/>
      <c r="O28" s="20"/>
      <c r="P28" s="37" t="str">
        <v>C0013</v>
      </c>
      <c r="Q28" s="32">
        <v>1255</v>
      </c>
      <c r="R28" s="32">
        <v>516</v>
      </c>
      <c r="S28" s="32">
        <v>1874</v>
      </c>
      <c r="T28" s="32">
        <v>1863</v>
      </c>
      <c r="U28" s="32">
        <v>1722</v>
      </c>
      <c r="V28" s="38">
        <v>7230</v>
      </c>
      <c r="W28" s="20"/>
      <c r="X28" s="20"/>
      <c r="Y28" s="20"/>
      <c r="Z28" s="20"/>
      <c r="AA28" s="20"/>
      <c r="AB28" s="20"/>
    </row>
    <row r="29" spans="1:28" x14ac:dyDescent="0.3">
      <c r="A29" s="20"/>
      <c r="B29" s="20"/>
      <c r="C29" s="20"/>
      <c r="D29" s="20"/>
      <c r="E29" s="20"/>
      <c r="F29" s="20"/>
      <c r="G29" s="20"/>
      <c r="H29" s="20"/>
      <c r="I29" s="20"/>
      <c r="J29" s="20"/>
      <c r="K29" s="20"/>
      <c r="L29" s="20"/>
      <c r="M29" s="20"/>
      <c r="N29" s="20"/>
      <c r="O29" s="20"/>
      <c r="P29" s="37" t="str">
        <v>C0015</v>
      </c>
      <c r="Q29" s="32">
        <v>1138</v>
      </c>
      <c r="R29" s="32">
        <v>1898</v>
      </c>
      <c r="S29" s="32">
        <v>1482</v>
      </c>
      <c r="T29" s="32">
        <v>846</v>
      </c>
      <c r="U29" s="32">
        <v>1154</v>
      </c>
      <c r="V29" s="38">
        <v>6518</v>
      </c>
      <c r="W29" s="20"/>
      <c r="X29" s="20"/>
      <c r="Y29" s="20"/>
      <c r="Z29" s="20"/>
      <c r="AA29" s="20"/>
      <c r="AB29" s="20"/>
    </row>
    <row r="30" spans="1:28" x14ac:dyDescent="0.3">
      <c r="A30" s="20"/>
      <c r="B30" s="20"/>
      <c r="C30" s="20"/>
      <c r="D30" s="20"/>
      <c r="E30" s="20"/>
      <c r="F30" s="20"/>
      <c r="G30" s="20"/>
      <c r="H30" s="20"/>
      <c r="I30" s="20"/>
      <c r="J30" s="20"/>
      <c r="K30" s="20"/>
      <c r="L30" s="20"/>
      <c r="M30" s="20"/>
      <c r="N30" s="20"/>
      <c r="O30" s="20"/>
      <c r="P30" s="45" t="str">
        <v>Columbus</v>
      </c>
      <c r="Q30" s="32" t="str">
        <v/>
      </c>
      <c r="R30" s="32" t="str">
        <v/>
      </c>
      <c r="S30" s="32" t="str">
        <v/>
      </c>
      <c r="T30" s="32" t="str">
        <v/>
      </c>
      <c r="U30" s="32" t="str">
        <v/>
      </c>
      <c r="V30" s="38" t="str">
        <v/>
      </c>
      <c r="W30" s="20"/>
      <c r="X30" s="20"/>
      <c r="Y30" s="20"/>
      <c r="Z30" s="20"/>
      <c r="AA30" s="20"/>
      <c r="AB30" s="20"/>
    </row>
    <row r="31" spans="1:28" x14ac:dyDescent="0.3">
      <c r="A31" s="20"/>
      <c r="B31" s="20"/>
      <c r="C31" s="20"/>
      <c r="D31" s="20"/>
      <c r="E31" s="20"/>
      <c r="F31" s="20"/>
      <c r="G31" s="20"/>
      <c r="H31" s="20"/>
      <c r="I31" s="20"/>
      <c r="J31" s="20"/>
      <c r="K31" s="20"/>
      <c r="L31" s="20"/>
      <c r="M31" s="20"/>
      <c r="N31" s="51" t="str">
        <f>Image</f>
        <v>R01</v>
      </c>
      <c r="O31" s="52"/>
      <c r="P31" s="37" t="str">
        <v>C0001</v>
      </c>
      <c r="Q31" s="32">
        <v>1655</v>
      </c>
      <c r="R31" s="32">
        <v>805</v>
      </c>
      <c r="S31" s="32">
        <v>2263</v>
      </c>
      <c r="T31" s="32">
        <v>987</v>
      </c>
      <c r="U31" s="32">
        <v>1075</v>
      </c>
      <c r="V31" s="38">
        <v>6785</v>
      </c>
      <c r="W31" s="20"/>
      <c r="X31" s="20"/>
      <c r="Y31" s="20"/>
      <c r="Z31" s="20"/>
      <c r="AA31" s="20"/>
      <c r="AB31" s="20"/>
    </row>
    <row r="32" spans="1:28" x14ac:dyDescent="0.3">
      <c r="A32" s="20"/>
      <c r="B32" s="20"/>
      <c r="C32" s="20"/>
      <c r="D32" s="20"/>
      <c r="E32" s="20"/>
      <c r="F32" s="20"/>
      <c r="G32" s="20"/>
      <c r="H32" s="20"/>
      <c r="I32" s="20"/>
      <c r="J32" s="20"/>
      <c r="K32" s="20"/>
      <c r="L32" s="20"/>
      <c r="M32" s="20"/>
      <c r="N32" s="53" t="str">
        <f>Pivots!I62</f>
        <v>% of calls: 19%</v>
      </c>
      <c r="O32" s="54"/>
      <c r="P32" s="37" t="str">
        <v>C0005</v>
      </c>
      <c r="Q32" s="32">
        <v>1104</v>
      </c>
      <c r="R32" s="32">
        <v>2280</v>
      </c>
      <c r="S32" s="32">
        <v>1445</v>
      </c>
      <c r="T32" s="32">
        <v>1722</v>
      </c>
      <c r="U32" s="32">
        <v>1196</v>
      </c>
      <c r="V32" s="38">
        <v>7747</v>
      </c>
      <c r="W32" s="20"/>
      <c r="X32" s="20"/>
      <c r="Y32" s="20"/>
      <c r="Z32" s="20"/>
      <c r="AA32" s="20"/>
      <c r="AB32" s="20"/>
    </row>
    <row r="33" spans="1:28" ht="17.399999999999999" customHeight="1" x14ac:dyDescent="0.3">
      <c r="A33" s="20"/>
      <c r="B33" s="20"/>
      <c r="C33" s="20"/>
      <c r="D33" s="20"/>
      <c r="E33" s="20"/>
      <c r="F33" s="20"/>
      <c r="G33" s="20"/>
      <c r="H33" s="20"/>
      <c r="I33" s="20"/>
      <c r="J33" s="20"/>
      <c r="K33" s="20"/>
      <c r="L33" s="20"/>
      <c r="M33" s="20"/>
      <c r="N33" s="53" t="str">
        <f>Pivots!I63</f>
        <v>Call Rank: 4</v>
      </c>
      <c r="O33" s="54"/>
      <c r="P33" s="37" t="str">
        <v>C0006</v>
      </c>
      <c r="Q33" s="32">
        <v>372</v>
      </c>
      <c r="R33" s="32">
        <v>1818</v>
      </c>
      <c r="S33" s="32">
        <v>1346</v>
      </c>
      <c r="T33" s="32">
        <v>1156</v>
      </c>
      <c r="U33" s="32">
        <v>1484</v>
      </c>
      <c r="V33" s="38">
        <v>6176</v>
      </c>
      <c r="W33" s="20"/>
      <c r="X33" s="20"/>
      <c r="Y33" s="20"/>
      <c r="Z33" s="20"/>
      <c r="AA33" s="20"/>
      <c r="AB33" s="20"/>
    </row>
    <row r="34" spans="1:28" ht="15" customHeight="1" x14ac:dyDescent="0.3">
      <c r="A34" s="20"/>
      <c r="B34" s="20"/>
      <c r="C34" s="20"/>
      <c r="D34" s="20"/>
      <c r="E34" s="20"/>
      <c r="F34" s="20"/>
      <c r="G34" s="20"/>
      <c r="H34" s="20"/>
      <c r="I34" s="20"/>
      <c r="J34" s="20"/>
      <c r="K34" s="20"/>
      <c r="L34" s="20"/>
      <c r="M34" s="20"/>
      <c r="N34" s="55" t="str">
        <f>Pivots!I64</f>
        <v>Amount Rank: 4</v>
      </c>
      <c r="O34" s="56"/>
      <c r="P34" s="37" t="str">
        <v>C0009</v>
      </c>
      <c r="Q34" s="32">
        <v>1415</v>
      </c>
      <c r="R34" s="32">
        <v>1271</v>
      </c>
      <c r="S34" s="32">
        <v>1214</v>
      </c>
      <c r="T34" s="32">
        <v>1135</v>
      </c>
      <c r="U34" s="32">
        <v>1566</v>
      </c>
      <c r="V34" s="38">
        <v>6601</v>
      </c>
      <c r="W34" s="20"/>
      <c r="X34" s="20"/>
      <c r="Y34" s="20"/>
      <c r="Z34" s="20"/>
      <c r="AA34" s="20"/>
      <c r="AB34" s="20"/>
    </row>
    <row r="35" spans="1:28" x14ac:dyDescent="0.3">
      <c r="A35" s="20"/>
      <c r="B35" s="20"/>
      <c r="C35" s="20"/>
      <c r="D35" s="20"/>
      <c r="E35" s="20"/>
      <c r="F35" s="20"/>
      <c r="G35" s="20"/>
      <c r="H35" s="20"/>
      <c r="I35" s="20"/>
      <c r="J35" s="20"/>
      <c r="K35" s="20"/>
      <c r="L35" s="20"/>
      <c r="M35" s="20"/>
      <c r="N35" s="57"/>
      <c r="O35" s="58"/>
      <c r="P35" s="39" t="str">
        <v>C0014</v>
      </c>
      <c r="Q35" s="40">
        <v>1362</v>
      </c>
      <c r="R35" s="40">
        <v>1363</v>
      </c>
      <c r="S35" s="40">
        <v>1152</v>
      </c>
      <c r="T35" s="40">
        <v>777</v>
      </c>
      <c r="U35" s="40">
        <v>750</v>
      </c>
      <c r="V35" s="41">
        <v>5404</v>
      </c>
      <c r="W35" s="20"/>
      <c r="X35" s="20"/>
      <c r="Y35" s="20"/>
      <c r="Z35" s="20"/>
      <c r="AA35" s="20"/>
      <c r="AB35" s="20"/>
    </row>
    <row r="36" spans="1:28"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row>
    <row r="37" spans="1:28"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row>
    <row r="38" spans="1:28"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row>
    <row r="39" spans="1:28"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row>
    <row r="40" spans="1:28"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row>
    <row r="41" spans="1:28"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row>
    <row r="42" spans="1:28"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row>
    <row r="43" spans="1:28"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row>
    <row r="44" spans="1:28"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row>
    <row r="45" spans="1:28"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row>
    <row r="46" spans="1:28"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row>
    <row r="47" spans="1:28"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row>
    <row r="48" spans="1:28"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row>
    <row r="49" spans="1:28"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row>
    <row r="50" spans="1:28"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row>
    <row r="51" spans="1:28"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row>
    <row r="52" spans="1:28"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row>
    <row r="53" spans="1:28"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row>
    <row r="54" spans="1:28"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row>
    <row r="55" spans="1:28"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row>
    <row r="56" spans="1:28"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row>
    <row r="57" spans="1:28"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row>
    <row r="58" spans="1:28"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row>
    <row r="59" spans="1:28"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row>
    <row r="60" spans="1:28"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row>
    <row r="61" spans="1:28"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row>
    <row r="62" spans="1:28"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row>
    <row r="63" spans="1:28"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row>
    <row r="64" spans="1:28"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row>
    <row r="65" spans="1:28"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row>
    <row r="66" spans="1:28"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row>
    <row r="67" spans="1:28"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row>
    <row r="68" spans="1:28"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row>
    <row r="69" spans="1:28"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row>
    <row r="70" spans="1:28"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row>
    <row r="71" spans="1:28"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row>
    <row r="72" spans="1:28"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row>
    <row r="73" spans="1:28"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row>
    <row r="74" spans="1:28"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row>
    <row r="75" spans="1:28"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row>
    <row r="76" spans="1:28"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row>
    <row r="77" spans="1:28"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row>
    <row r="78" spans="1:28"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row>
    <row r="79" spans="1:28"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row>
    <row r="80" spans="1:28"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row>
    <row r="81" spans="1:28"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row>
  </sheetData>
  <mergeCells count="5">
    <mergeCell ref="N31:O31"/>
    <mergeCell ref="N32:O32"/>
    <mergeCell ref="N33:O33"/>
    <mergeCell ref="N34:O34"/>
    <mergeCell ref="N35:O35"/>
  </mergeCells>
  <conditionalFormatting sqref="P18:U18 P19:P35">
    <cfRule type="dataBar" priority="3">
      <dataBar>
        <cfvo type="num" val="0"/>
        <cfvo type="formula" val="&quot;max($Q$19:$U$35)*2&quot;"/>
        <color theme="1" tint="4.9989318521683403E-2"/>
      </dataBar>
      <extLst>
        <ext xmlns:x14="http://schemas.microsoft.com/office/spreadsheetml/2009/9/main" uri="{B025F937-C7B1-47D3-B67F-A62EFF666E3E}">
          <x14:id>{22901D1D-7E99-49FC-B4AF-659DFC33C3BD}</x14:id>
        </ext>
      </extLst>
    </cfRule>
  </conditionalFormatting>
  <conditionalFormatting sqref="Q18:U35">
    <cfRule type="dataBar" priority="2">
      <dataBar>
        <cfvo type="num" val="0"/>
        <cfvo type="formula" val="MAX($Q$19:$U$35)*2"/>
        <color theme="1" tint="4.9989318521683403E-2"/>
      </dataBar>
      <extLst>
        <ext xmlns:x14="http://schemas.microsoft.com/office/spreadsheetml/2009/9/main" uri="{B025F937-C7B1-47D3-B67F-A62EFF666E3E}">
          <x14:id>{42C1ABA5-D22F-461B-A1E2-CED7C0B898D1}</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22901D1D-7E99-49FC-B4AF-659DFC33C3BD}">
            <x14:dataBar minLength="0" maxLength="100" gradient="0">
              <x14:cfvo type="num">
                <xm:f>0</xm:f>
              </x14:cfvo>
              <x14:cfvo type="formula">
                <xm:f>"max($Q$19:$U$35)*2"</xm:f>
              </x14:cfvo>
              <x14:negativeFillColor rgb="FFFF0000"/>
              <x14:axisColor rgb="FF000000"/>
            </x14:dataBar>
          </x14:cfRule>
          <xm:sqref>P18:U18 P19:P35</xm:sqref>
        </x14:conditionalFormatting>
        <x14:conditionalFormatting xmlns:xm="http://schemas.microsoft.com/office/excel/2006/main">
          <x14:cfRule type="expression" priority="1" id="{53F3A90E-FB99-4CC3-8B5F-C85B0B31BA13}">
            <xm:f>Q$17=Pivots!$A$56</xm:f>
            <x14:dxf>
              <fill>
                <patternFill>
                  <bgColor theme="9" tint="0.59996337778862885"/>
                </patternFill>
              </fill>
              <border>
                <left style="thin">
                  <color theme="8" tint="-0.499984740745262"/>
                </left>
                <right style="thin">
                  <color theme="8" tint="-0.499984740745262"/>
                </right>
                <vertical/>
                <horizontal/>
              </border>
            </x14:dxf>
          </x14:cfRule>
          <xm:sqref>Q16:U35</xm:sqref>
        </x14:conditionalFormatting>
        <x14:conditionalFormatting xmlns:xm="http://schemas.microsoft.com/office/excel/2006/main">
          <x14:cfRule type="dataBar" id="{42C1ABA5-D22F-461B-A1E2-CED7C0B898D1}">
            <x14:dataBar minLength="0" maxLength="100" border="1" gradient="0">
              <x14:cfvo type="num">
                <xm:f>0</xm:f>
              </x14:cfvo>
              <x14:cfvo type="formula">
                <xm:f>MAX($Q$19:$U$35)*2</xm:f>
              </x14:cfvo>
              <x14:borderColor rgb="FF000000"/>
              <x14:negativeFillColor rgb="FFFF0000"/>
              <x14:axisColor rgb="FF000000"/>
            </x14:dataBar>
          </x14:cfRule>
          <xm:sqref>Q18:U35</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C2:G20"/>
  <sheetViews>
    <sheetView zoomScale="121" zoomScaleNormal="115" workbookViewId="0">
      <selection activeCell="E19" sqref="E19"/>
    </sheetView>
  </sheetViews>
  <sheetFormatPr defaultRowHeight="14.4" x14ac:dyDescent="0.3"/>
  <cols>
    <col min="5" max="5" width="11" customWidth="1"/>
    <col min="6" max="6" width="10" customWidth="1"/>
  </cols>
  <sheetData>
    <row r="2" spans="5:7" ht="10.8" customHeight="1" x14ac:dyDescent="0.3">
      <c r="E2" t="s">
        <v>1040</v>
      </c>
      <c r="F2" t="s">
        <v>1041</v>
      </c>
      <c r="G2" t="s">
        <v>1106</v>
      </c>
    </row>
    <row r="3" spans="5:7" ht="27.6" customHeight="1" x14ac:dyDescent="0.3">
      <c r="E3" t="s">
        <v>11</v>
      </c>
      <c r="G3" t="s">
        <v>1108</v>
      </c>
    </row>
    <row r="4" spans="5:7" ht="25.2" customHeight="1" x14ac:dyDescent="0.3">
      <c r="E4" t="s">
        <v>9</v>
      </c>
      <c r="G4" t="s">
        <v>1107</v>
      </c>
    </row>
    <row r="5" spans="5:7" ht="25.2" customHeight="1" x14ac:dyDescent="0.3">
      <c r="E5" t="s">
        <v>6</v>
      </c>
      <c r="G5" t="s">
        <v>1109</v>
      </c>
    </row>
    <row r="6" spans="5:7" ht="25.2" customHeight="1" x14ac:dyDescent="0.3">
      <c r="E6" t="s">
        <v>13</v>
      </c>
    </row>
    <row r="7" spans="5:7" ht="25.2" customHeight="1" x14ac:dyDescent="0.3">
      <c r="E7" t="s">
        <v>10</v>
      </c>
    </row>
    <row r="20" spans="3:3" x14ac:dyDescent="0.3">
      <c r="C20">
        <f>F3</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Sheet1</vt:lpstr>
      <vt:lpstr>Pivots</vt:lpstr>
      <vt:lpstr>Data</vt:lpstr>
      <vt:lpstr>Customer Centre Report</vt:lpstr>
      <vt:lpstr>Assets</vt:lpstr>
      <vt:lpstr>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Shifa Siddiqui</cp:lastModifiedBy>
  <dcterms:created xsi:type="dcterms:W3CDTF">2021-03-14T20:21:32Z</dcterms:created>
  <dcterms:modified xsi:type="dcterms:W3CDTF">2025-12-04T03:01:52Z</dcterms:modified>
</cp:coreProperties>
</file>